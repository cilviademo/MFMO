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Tolerance" sheetId="1" state="visible" r:id="rId1"/>
    <sheet name="Ref_Calendar" sheetId="2" state="visible" r:id="rId2"/>
    <sheet name="Ref_Crosswalk" sheetId="3" state="visible" r:id="rId3"/>
    <sheet name="Ref_ExceptionTypes" sheetId="4" state="visible" r:id="rId4"/>
    <sheet name="Ref_AdapterManifest" sheetId="5" state="visible" r:id="rId5"/>
    <sheet name="Ref_CrosswalkVersion" sheetId="6" state="visible" r:id="rId6"/>
    <sheet name="Out_ComplianceTracker" sheetId="7" state="visible" r:id="rId7"/>
    <sheet name="Out_Dashboard" sheetId="8" state="visible" r:id="rId8"/>
    <sheet name="Out_DataDictionary" sheetId="9" state="visible" r:id="rId9"/>
    <sheet name="Out_ValidationRegi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DD-MMM-YYYY"/>
    <numFmt numFmtId="167" formatCode="$#,##0;($#,##0);-"/>
  </numFmts>
  <fonts count="1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C00000"/>
      <sz val="10"/>
    </font>
    <font>
      <name val="Arial"/>
      <i val="1"/>
      <color rgb="FF000000"/>
      <sz val="9"/>
    </font>
    <font>
      <name val="Arial"/>
      <color rgb="FF0000FF"/>
      <sz val="10"/>
    </font>
    <font>
      <name val="Arial"/>
      <i val="1"/>
      <color rgb="FFC00000"/>
      <sz val="9"/>
    </font>
    <font>
      <name val="Arial"/>
      <b val="1"/>
      <color rgb="FFFFFFFF"/>
      <sz val="14"/>
    </font>
    <font>
      <name val="Arial"/>
      <i val="1"/>
      <color rgb="FF404040"/>
      <sz val="9"/>
    </font>
    <font>
      <name val="Arial"/>
      <color rgb="FF000000"/>
      <sz val="9"/>
    </font>
    <font>
      <name val="Arial"/>
      <color rgb="FF808080"/>
      <sz val="10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i val="1"/>
      <color rgb="FF808080"/>
      <sz val="10"/>
    </font>
    <font>
      <name val="Arial"/>
      <color rgb="FF808080"/>
      <sz val="8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pivotButton="0" quotePrefix="0" xfId="0"/>
    <xf numFmtId="164" fontId="3" fillId="3" borderId="1" applyAlignment="1" pivotButton="0" quotePrefix="0" xfId="0">
      <alignment horizontal="center" vertical="top"/>
    </xf>
    <xf numFmtId="0" fontId="3" fillId="3" borderId="1" pivotButton="0" quotePrefix="0" xfId="0"/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  <xf numFmtId="1" fontId="3" fillId="3" borderId="1" applyAlignment="1" pivotButton="0" quotePrefix="0" xfId="0">
      <alignment horizontal="center" vertical="top"/>
    </xf>
    <xf numFmtId="166" fontId="3" fillId="3" borderId="1" pivotButton="0" quotePrefix="0" xfId="0"/>
    <xf numFmtId="0" fontId="6" fillId="0" borderId="1" pivotButton="0" quotePrefix="0" xfId="0"/>
    <xf numFmtId="0" fontId="6" fillId="4" borderId="1" pivotButton="0" quotePrefix="0" xfId="0"/>
    <xf numFmtId="166" fontId="6" fillId="0" borderId="1" pivotButton="0" quotePrefix="0" xfId="0"/>
    <xf numFmtId="0" fontId="7" fillId="0" borderId="0" pivotButton="0" quotePrefix="0" xfId="0"/>
    <xf numFmtId="166" fontId="6" fillId="4" borderId="1" pivotButton="0" quotePrefix="0" xfId="0"/>
    <xf numFmtId="0" fontId="2" fillId="0" borderId="0" pivotButton="0" quotePrefix="0" xfId="0"/>
    <xf numFmtId="3" fontId="6" fillId="4" borderId="1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167" fontId="6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11" fillId="0" borderId="1" pivotButton="0" quotePrefix="0" xfId="0"/>
    <xf numFmtId="167" fontId="6" fillId="4" borderId="1" pivotButton="0" quotePrefix="0" xfId="0"/>
    <xf numFmtId="0" fontId="12" fillId="2" borderId="0" pivotButton="0" quotePrefix="0" xfId="0"/>
    <xf numFmtId="166" fontId="2" fillId="0" borderId="0" pivotButton="0" quotePrefix="0" xfId="0"/>
    <xf numFmtId="0" fontId="3" fillId="0" borderId="0" pivotButton="0" quotePrefix="0" xfId="0"/>
    <xf numFmtId="0" fontId="13" fillId="5" borderId="0" pivotButton="0" quotePrefix="0" xfId="0"/>
    <xf numFmtId="3" fontId="2" fillId="0" borderId="0" pivotButton="0" quotePrefix="0" xfId="0"/>
    <xf numFmtId="0" fontId="14" fillId="0" borderId="0" pivotButton="0" quotePrefix="0" xfId="0"/>
    <xf numFmtId="3" fontId="3" fillId="0" borderId="0" pivotButton="0" quotePrefix="0" xfId="0"/>
    <xf numFmtId="0" fontId="15" fillId="0" borderId="0" applyAlignment="1" pivotButton="0" quotePrefix="0" xfId="0">
      <alignment horizontal="right" vertical="top"/>
    </xf>
    <xf numFmtId="3" fontId="11" fillId="0" borderId="0" pivotButton="0" quotePrefix="0" xfId="0"/>
    <xf numFmtId="0" fontId="1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top"/>
    </xf>
    <xf numFmtId="0" fontId="14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3" customWidth="1" min="4" max="4"/>
    <col width="14" customWidth="1" min="5" max="5"/>
    <col width="7" customWidth="1" min="6" max="6"/>
    <col width="70" customWidth="1" min="7" max="7"/>
  </cols>
  <sheetData>
    <row r="1">
      <c r="A1" s="1" t="inlineStr">
        <is>
          <t>FACILITY_TYPE</t>
        </is>
      </c>
      <c r="B1" s="1" t="inlineStr">
        <is>
          <t>TOLERANCE_PCT</t>
        </is>
      </c>
      <c r="C1" s="1" t="inlineStr">
        <is>
          <t>BASIS</t>
        </is>
      </c>
      <c r="D1" s="1" t="inlineStr">
        <is>
          <t>METRIC_TYPE</t>
        </is>
      </c>
      <c r="E1" s="1" t="inlineStr">
        <is>
          <t>DAFMAN_CITE</t>
        </is>
      </c>
      <c r="F1" s="1" t="inlineStr">
        <is>
          <t>TIER</t>
        </is>
      </c>
      <c r="G1" s="1" t="inlineStr">
        <is>
          <t>NOTES</t>
        </is>
      </c>
    </row>
    <row r="2">
      <c r="A2" s="2" t="inlineStr">
        <is>
          <t>DFAC_LEGACY</t>
        </is>
      </c>
      <c r="B2" s="3" t="n">
        <v>0.03</v>
      </c>
      <c r="C2" s="4" t="inlineStr">
        <is>
          <t>MONTHLY_EARNED_INCOME</t>
        </is>
      </c>
      <c r="D2" s="5" t="inlineStr">
        <is>
          <t>VARIANCE</t>
        </is>
      </c>
      <c r="E2" s="5" t="inlineStr">
        <is>
          <t>5.13</t>
        </is>
      </c>
      <c r="F2" s="5" t="inlineStr">
        <is>
          <t>T-2</t>
        </is>
      </c>
      <c r="G2" s="6" t="inlineStr">
        <is>
          <t>Para 5.13 sets 3% for DFAC food accounts; para 6.6 sets 5% for CAFE facilities. Both T-2. Applied standard depends on facility classification. Inconsistency surfaced intentionally.</t>
        </is>
      </c>
    </row>
    <row r="3">
      <c r="A3" s="2" t="inlineStr">
        <is>
          <t>CAFE</t>
        </is>
      </c>
      <c r="B3" s="3" t="n">
        <v>0.05</v>
      </c>
      <c r="C3" s="4" t="inlineStr">
        <is>
          <t>TOTAL_EARNED_INCOME</t>
        </is>
      </c>
      <c r="D3" s="5" t="inlineStr">
        <is>
          <t>VARIANCE</t>
        </is>
      </c>
      <c r="E3" s="5" t="inlineStr">
        <is>
          <t>6.6</t>
        </is>
      </c>
      <c r="F3" s="5" t="inlineStr">
        <is>
          <t>T-2</t>
        </is>
      </c>
      <c r="G3" s="6" t="inlineStr">
        <is>
          <t>Para 5.13 sets 3% for DFAC food accounts; para 6.6 sets 5% for CAFE facilities. Both T-2. Applied standard depends on facility classification. Inconsistency surfaced intentionally.</t>
        </is>
      </c>
    </row>
    <row r="4">
      <c r="A4" s="2" t="inlineStr">
        <is>
          <t>FOOD_2_0</t>
        </is>
      </c>
      <c r="B4" s="3" t="n">
        <v>0.45</v>
      </c>
      <c r="C4" s="4" t="inlineStr">
        <is>
          <t>COST_OF_GOODS</t>
        </is>
      </c>
      <c r="D4" s="7" t="inlineStr">
        <is>
          <t>MARGIN</t>
        </is>
      </c>
      <c r="E4" s="5" t="inlineStr">
        <is>
          <t>6.6, 3.13.3</t>
        </is>
      </c>
      <c r="F4" s="5" t="inlineStr">
        <is>
          <t>T-2</t>
        </is>
      </c>
      <c r="G4" s="6" t="inlineStr">
        <is>
          <t>45% COG is a pricing/margin standard, not a variance tolerance. Food 2.0 sites have no AvT-equivalent variance control. A site can meet 45% COG exactly and still carry large theoretical-vs-actual variance.</t>
        </is>
      </c>
    </row>
    <row r="5">
      <c r="A5" s="2" t="inlineStr">
        <is>
          <t>ANG_DFAC</t>
        </is>
      </c>
      <c r="B5" s="3" t="n">
        <v>0.1</v>
      </c>
      <c r="C5" s="4" t="inlineStr">
        <is>
          <t>TOTAL_EARNED_INCOME</t>
        </is>
      </c>
      <c r="D5" s="5" t="inlineStr">
        <is>
          <t>VARIANCE</t>
        </is>
      </c>
      <c r="E5" s="5" t="inlineStr">
        <is>
          <t>6.6</t>
        </is>
      </c>
      <c r="F5" s="5" t="inlineStr">
        <is>
          <t>T-2</t>
        </is>
      </c>
      <c r="G5" s="6" t="inlineStr"/>
    </row>
    <row r="6">
      <c r="A6" s="2" t="inlineStr">
        <is>
          <t>FIELD_FEEDING</t>
        </is>
      </c>
      <c r="B6" s="3" t="n">
        <v>0.03</v>
      </c>
      <c r="C6" s="4" t="inlineStr">
        <is>
          <t>TOTAL_EARNED_INCOME</t>
        </is>
      </c>
      <c r="D6" s="5" t="inlineStr">
        <is>
          <t>VARIANCE</t>
        </is>
      </c>
      <c r="E6" s="5" t="inlineStr">
        <is>
          <t>5.18.6</t>
        </is>
      </c>
      <c r="F6" s="5" t="inlineStr">
        <is>
          <t>T-2</t>
        </is>
      </c>
      <c r="G6" s="6" t="inlineStr"/>
    </row>
    <row r="7">
      <c r="A7" s="2" t="inlineStr">
        <is>
          <t>NGB_UTA</t>
        </is>
      </c>
      <c r="B7" s="3" t="n">
        <v>0.1</v>
      </c>
      <c r="C7" s="4" t="inlineStr">
        <is>
          <t>MONTHLY_EARNED_INCOME</t>
        </is>
      </c>
      <c r="D7" s="5" t="inlineStr">
        <is>
          <t>VARIANCE</t>
        </is>
      </c>
      <c r="E7" s="5" t="inlineStr">
        <is>
          <t>5.13.1</t>
        </is>
      </c>
      <c r="F7" s="5" t="inlineStr">
        <is>
          <t>T-2</t>
        </is>
      </c>
      <c r="G7" s="6" t="inlineStr"/>
    </row>
    <row r="8">
      <c r="A8" s="2" t="inlineStr">
        <is>
          <t>NGB_AT</t>
        </is>
      </c>
      <c r="B8" s="3" t="n">
        <v>0.05</v>
      </c>
      <c r="C8" s="4" t="inlineStr">
        <is>
          <t>MONTHLY_EARNED_INCOME</t>
        </is>
      </c>
      <c r="D8" s="5" t="inlineStr">
        <is>
          <t>VARIANCE</t>
        </is>
      </c>
      <c r="E8" s="5" t="inlineStr">
        <is>
          <t>5.13.1</t>
        </is>
      </c>
      <c r="F8" s="5" t="inlineStr">
        <is>
          <t>T-2</t>
        </is>
      </c>
      <c r="G8" s="6" t="inlineStr"/>
    </row>
    <row r="9">
      <c r="A9" s="2" t="inlineStr">
        <is>
          <t>NGB_EXTENDED</t>
        </is>
      </c>
      <c r="B9" s="3" t="n">
        <v>0.03</v>
      </c>
      <c r="C9" s="4" t="inlineStr">
        <is>
          <t>MONTHLY_EARNED_INCOME</t>
        </is>
      </c>
      <c r="D9" s="5" t="inlineStr">
        <is>
          <t>VARIANCE</t>
        </is>
      </c>
      <c r="E9" s="5" t="inlineStr">
        <is>
          <t>5.13.1</t>
        </is>
      </c>
      <c r="F9" s="5" t="inlineStr">
        <is>
          <t>T-2</t>
        </is>
      </c>
      <c r="G9" s="6" t="inlineStr"/>
    </row>
    <row r="11">
      <c r="A11" s="8" t="inlineStr">
        <is>
          <t>REGULATORY TABLE — DO NOT EDIT TOLERANCE VALUES.</t>
        </is>
      </c>
    </row>
    <row r="12">
      <c r="A12" s="9" t="inlineStr">
        <is>
          <t>Tolerances are set by DAFMAN 34-131. To change how a facility is scored, change its FACILITY_TYPE in Ref_Crosswalk, not a value here.</t>
        </is>
      </c>
    </row>
    <row r="13">
      <c r="A13" s="9" t="inlineStr">
        <is>
          <t>TOLERANCE_PCT is stored as a fraction (0.03 renders 3.0%). METRIC_TYPE MARGIN (Food 2.0) is tested on cost-of-goods, not variance.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6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  <col width="9" customWidth="1" min="10" max="10"/>
  </cols>
  <sheetData>
    <row r="1">
      <c r="A1" s="1" t="inlineStr">
        <is>
          <t>PERIOD_KEY</t>
        </is>
      </c>
      <c r="B1" s="1" t="inlineStr">
        <is>
          <t>FY</t>
        </is>
      </c>
      <c r="C1" s="1" t="inlineStr">
        <is>
          <t>MONTH</t>
        </is>
      </c>
      <c r="D1" s="1" t="inlineStr">
        <is>
          <t>HALF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INVENTORY_DUE</t>
        </is>
      </c>
      <c r="H1" s="1" t="inlineStr">
        <is>
          <t>POST_DUE</t>
        </is>
      </c>
      <c r="I1" s="1" t="inlineStr">
        <is>
          <t>MMR_DUE</t>
        </is>
      </c>
      <c r="J1" s="1" t="inlineStr">
        <is>
          <t>STATUS</t>
        </is>
      </c>
    </row>
    <row r="2">
      <c r="A2" s="2" t="inlineStr">
        <is>
          <t>FY2025-P10A</t>
        </is>
      </c>
      <c r="B2" s="10" t="n">
        <v>2025</v>
      </c>
      <c r="C2" s="10" t="n">
        <v>10</v>
      </c>
      <c r="D2" s="5" t="inlineStr">
        <is>
          <t>A</t>
        </is>
      </c>
      <c r="E2" s="11" t="n">
        <v>45566</v>
      </c>
      <c r="F2" s="11" t="n">
        <v>45580</v>
      </c>
      <c r="G2" s="11" t="n">
        <v>45580</v>
      </c>
      <c r="H2" s="11" t="n">
        <v>45585</v>
      </c>
      <c r="I2" s="11" t="n">
        <v>45606</v>
      </c>
      <c r="J2" s="5" t="inlineStr">
        <is>
          <t>CLOSED</t>
        </is>
      </c>
    </row>
    <row r="3">
      <c r="A3" s="2" t="inlineStr">
        <is>
          <t>FY2025-P10B</t>
        </is>
      </c>
      <c r="B3" s="10" t="n">
        <v>2025</v>
      </c>
      <c r="C3" s="10" t="n">
        <v>10</v>
      </c>
      <c r="D3" s="5" t="inlineStr">
        <is>
          <t>B</t>
        </is>
      </c>
      <c r="E3" s="11" t="n">
        <v>45581</v>
      </c>
      <c r="F3" s="11" t="n">
        <v>45596</v>
      </c>
      <c r="G3" s="11" t="n">
        <v>45596</v>
      </c>
      <c r="H3" s="11" t="n">
        <v>45601</v>
      </c>
      <c r="I3" s="11" t="n">
        <v>45606</v>
      </c>
      <c r="J3" s="5" t="inlineStr">
        <is>
          <t>CLOSED</t>
        </is>
      </c>
    </row>
    <row r="4">
      <c r="A4" s="2" t="inlineStr">
        <is>
          <t>FY2025-P11A</t>
        </is>
      </c>
      <c r="B4" s="10" t="n">
        <v>2025</v>
      </c>
      <c r="C4" s="10" t="n">
        <v>11</v>
      </c>
      <c r="D4" s="5" t="inlineStr">
        <is>
          <t>A</t>
        </is>
      </c>
      <c r="E4" s="11" t="n">
        <v>45597</v>
      </c>
      <c r="F4" s="11" t="n">
        <v>45611</v>
      </c>
      <c r="G4" s="11" t="n">
        <v>45611</v>
      </c>
      <c r="H4" s="11" t="n">
        <v>45616</v>
      </c>
      <c r="I4" s="11" t="n">
        <v>45636</v>
      </c>
      <c r="J4" s="5" t="inlineStr">
        <is>
          <t>CLOSED</t>
        </is>
      </c>
    </row>
    <row r="5">
      <c r="A5" s="2" t="inlineStr">
        <is>
          <t>FY2025-P11B</t>
        </is>
      </c>
      <c r="B5" s="10" t="n">
        <v>2025</v>
      </c>
      <c r="C5" s="10" t="n">
        <v>11</v>
      </c>
      <c r="D5" s="5" t="inlineStr">
        <is>
          <t>B</t>
        </is>
      </c>
      <c r="E5" s="11" t="n">
        <v>45612</v>
      </c>
      <c r="F5" s="11" t="n">
        <v>45626</v>
      </c>
      <c r="G5" s="11" t="n">
        <v>45626</v>
      </c>
      <c r="H5" s="11" t="n">
        <v>45631</v>
      </c>
      <c r="I5" s="11" t="n">
        <v>45636</v>
      </c>
      <c r="J5" s="5" t="inlineStr">
        <is>
          <t>CLOSED</t>
        </is>
      </c>
    </row>
    <row r="6">
      <c r="A6" s="2" t="inlineStr">
        <is>
          <t>FY2025-P12A</t>
        </is>
      </c>
      <c r="B6" s="10" t="n">
        <v>2025</v>
      </c>
      <c r="C6" s="10" t="n">
        <v>12</v>
      </c>
      <c r="D6" s="5" t="inlineStr">
        <is>
          <t>A</t>
        </is>
      </c>
      <c r="E6" s="11" t="n">
        <v>45627</v>
      </c>
      <c r="F6" s="11" t="n">
        <v>45641</v>
      </c>
      <c r="G6" s="11" t="n">
        <v>45641</v>
      </c>
      <c r="H6" s="11" t="n">
        <v>45646</v>
      </c>
      <c r="I6" s="11" t="n">
        <v>45667</v>
      </c>
      <c r="J6" s="5" t="inlineStr">
        <is>
          <t>CLOSED</t>
        </is>
      </c>
    </row>
    <row r="7">
      <c r="A7" s="2" t="inlineStr">
        <is>
          <t>FY2025-P12B</t>
        </is>
      </c>
      <c r="B7" s="10" t="n">
        <v>2025</v>
      </c>
      <c r="C7" s="10" t="n">
        <v>12</v>
      </c>
      <c r="D7" s="5" t="inlineStr">
        <is>
          <t>B</t>
        </is>
      </c>
      <c r="E7" s="11" t="n">
        <v>45642</v>
      </c>
      <c r="F7" s="11" t="n">
        <v>45657</v>
      </c>
      <c r="G7" s="11" t="n">
        <v>45657</v>
      </c>
      <c r="H7" s="11" t="n">
        <v>45662</v>
      </c>
      <c r="I7" s="11" t="n">
        <v>45667</v>
      </c>
      <c r="J7" s="5" t="inlineStr">
        <is>
          <t>CLOSED</t>
        </is>
      </c>
    </row>
    <row r="8">
      <c r="A8" s="2" t="inlineStr">
        <is>
          <t>FY2025-P01A</t>
        </is>
      </c>
      <c r="B8" s="10" t="n">
        <v>2025</v>
      </c>
      <c r="C8" s="10" t="n">
        <v>1</v>
      </c>
      <c r="D8" s="5" t="inlineStr">
        <is>
          <t>A</t>
        </is>
      </c>
      <c r="E8" s="11" t="n">
        <v>45658</v>
      </c>
      <c r="F8" s="11" t="n">
        <v>45672</v>
      </c>
      <c r="G8" s="11" t="n">
        <v>45672</v>
      </c>
      <c r="H8" s="11" t="n">
        <v>45677</v>
      </c>
      <c r="I8" s="11" t="n">
        <v>45698</v>
      </c>
      <c r="J8" s="5" t="inlineStr">
        <is>
          <t>CLOSED</t>
        </is>
      </c>
    </row>
    <row r="9">
      <c r="A9" s="2" t="inlineStr">
        <is>
          <t>FY2025-P01B</t>
        </is>
      </c>
      <c r="B9" s="10" t="n">
        <v>2025</v>
      </c>
      <c r="C9" s="10" t="n">
        <v>1</v>
      </c>
      <c r="D9" s="5" t="inlineStr">
        <is>
          <t>B</t>
        </is>
      </c>
      <c r="E9" s="11" t="n">
        <v>45673</v>
      </c>
      <c r="F9" s="11" t="n">
        <v>45688</v>
      </c>
      <c r="G9" s="11" t="n">
        <v>45688</v>
      </c>
      <c r="H9" s="11" t="n">
        <v>45693</v>
      </c>
      <c r="I9" s="11" t="n">
        <v>45698</v>
      </c>
      <c r="J9" s="5" t="inlineStr">
        <is>
          <t>CLOSED</t>
        </is>
      </c>
    </row>
    <row r="10">
      <c r="A10" s="2" t="inlineStr">
        <is>
          <t>FY2025-P02A</t>
        </is>
      </c>
      <c r="B10" s="10" t="n">
        <v>2025</v>
      </c>
      <c r="C10" s="10" t="n">
        <v>2</v>
      </c>
      <c r="D10" s="5" t="inlineStr">
        <is>
          <t>A</t>
        </is>
      </c>
      <c r="E10" s="11" t="n">
        <v>45689</v>
      </c>
      <c r="F10" s="11" t="n">
        <v>45703</v>
      </c>
      <c r="G10" s="11" t="n">
        <v>45703</v>
      </c>
      <c r="H10" s="11" t="n">
        <v>45708</v>
      </c>
      <c r="I10" s="11" t="n">
        <v>45726</v>
      </c>
      <c r="J10" s="5" t="inlineStr">
        <is>
          <t>CLOSED</t>
        </is>
      </c>
    </row>
    <row r="11">
      <c r="A11" s="2" t="inlineStr">
        <is>
          <t>FY2025-P02B</t>
        </is>
      </c>
      <c r="B11" s="10" t="n">
        <v>2025</v>
      </c>
      <c r="C11" s="10" t="n">
        <v>2</v>
      </c>
      <c r="D11" s="5" t="inlineStr">
        <is>
          <t>B</t>
        </is>
      </c>
      <c r="E11" s="11" t="n">
        <v>45704</v>
      </c>
      <c r="F11" s="11" t="n">
        <v>45716</v>
      </c>
      <c r="G11" s="11" t="n">
        <v>45716</v>
      </c>
      <c r="H11" s="11" t="n">
        <v>45721</v>
      </c>
      <c r="I11" s="11" t="n">
        <v>45726</v>
      </c>
      <c r="J11" s="5" t="inlineStr">
        <is>
          <t>CLOSED</t>
        </is>
      </c>
    </row>
    <row r="12">
      <c r="A12" s="2" t="inlineStr">
        <is>
          <t>FY2025-P03A</t>
        </is>
      </c>
      <c r="B12" s="10" t="n">
        <v>2025</v>
      </c>
      <c r="C12" s="10" t="n">
        <v>3</v>
      </c>
      <c r="D12" s="5" t="inlineStr">
        <is>
          <t>A</t>
        </is>
      </c>
      <c r="E12" s="11" t="n">
        <v>45717</v>
      </c>
      <c r="F12" s="11" t="n">
        <v>45731</v>
      </c>
      <c r="G12" s="11" t="n">
        <v>45731</v>
      </c>
      <c r="H12" s="11" t="n">
        <v>45736</v>
      </c>
      <c r="I12" s="11" t="n">
        <v>45757</v>
      </c>
      <c r="J12" s="5" t="inlineStr">
        <is>
          <t>CLOSED</t>
        </is>
      </c>
    </row>
    <row r="13">
      <c r="A13" s="2" t="inlineStr">
        <is>
          <t>FY2025-P03B</t>
        </is>
      </c>
      <c r="B13" s="10" t="n">
        <v>2025</v>
      </c>
      <c r="C13" s="10" t="n">
        <v>3</v>
      </c>
      <c r="D13" s="5" t="inlineStr">
        <is>
          <t>B</t>
        </is>
      </c>
      <c r="E13" s="11" t="n">
        <v>45732</v>
      </c>
      <c r="F13" s="11" t="n">
        <v>45747</v>
      </c>
      <c r="G13" s="11" t="n">
        <v>45747</v>
      </c>
      <c r="H13" s="11" t="n">
        <v>45752</v>
      </c>
      <c r="I13" s="11" t="n">
        <v>45757</v>
      </c>
      <c r="J13" s="5" t="inlineStr">
        <is>
          <t>CLOSED</t>
        </is>
      </c>
    </row>
    <row r="14">
      <c r="A14" s="2" t="inlineStr">
        <is>
          <t>FY2025-P04A</t>
        </is>
      </c>
      <c r="B14" s="10" t="n">
        <v>2025</v>
      </c>
      <c r="C14" s="10" t="n">
        <v>4</v>
      </c>
      <c r="D14" s="5" t="inlineStr">
        <is>
          <t>A</t>
        </is>
      </c>
      <c r="E14" s="11" t="n">
        <v>45748</v>
      </c>
      <c r="F14" s="11" t="n">
        <v>45762</v>
      </c>
      <c r="G14" s="11" t="n">
        <v>45762</v>
      </c>
      <c r="H14" s="11" t="n">
        <v>45767</v>
      </c>
      <c r="I14" s="11" t="n">
        <v>45787</v>
      </c>
      <c r="J14" s="5" t="inlineStr">
        <is>
          <t>CLOSED</t>
        </is>
      </c>
    </row>
    <row r="15">
      <c r="A15" s="2" t="inlineStr">
        <is>
          <t>FY2025-P04B</t>
        </is>
      </c>
      <c r="B15" s="10" t="n">
        <v>2025</v>
      </c>
      <c r="C15" s="10" t="n">
        <v>4</v>
      </c>
      <c r="D15" s="5" t="inlineStr">
        <is>
          <t>B</t>
        </is>
      </c>
      <c r="E15" s="11" t="n">
        <v>45763</v>
      </c>
      <c r="F15" s="11" t="n">
        <v>45777</v>
      </c>
      <c r="G15" s="11" t="n">
        <v>45777</v>
      </c>
      <c r="H15" s="11" t="n">
        <v>45782</v>
      </c>
      <c r="I15" s="11" t="n">
        <v>45787</v>
      </c>
      <c r="J15" s="5" t="inlineStr">
        <is>
          <t>CLOSED</t>
        </is>
      </c>
    </row>
    <row r="16">
      <c r="A16" s="2" t="inlineStr">
        <is>
          <t>FY2025-P05A</t>
        </is>
      </c>
      <c r="B16" s="10" t="n">
        <v>2025</v>
      </c>
      <c r="C16" s="10" t="n">
        <v>5</v>
      </c>
      <c r="D16" s="5" t="inlineStr">
        <is>
          <t>A</t>
        </is>
      </c>
      <c r="E16" s="11" t="n">
        <v>45778</v>
      </c>
      <c r="F16" s="11" t="n">
        <v>45792</v>
      </c>
      <c r="G16" s="11" t="n">
        <v>45792</v>
      </c>
      <c r="H16" s="11" t="n">
        <v>45797</v>
      </c>
      <c r="I16" s="11" t="n">
        <v>45818</v>
      </c>
      <c r="J16" s="5" t="inlineStr">
        <is>
          <t>CLOSED</t>
        </is>
      </c>
    </row>
    <row r="17">
      <c r="A17" s="2" t="inlineStr">
        <is>
          <t>FY2025-P05B</t>
        </is>
      </c>
      <c r="B17" s="10" t="n">
        <v>2025</v>
      </c>
      <c r="C17" s="10" t="n">
        <v>5</v>
      </c>
      <c r="D17" s="5" t="inlineStr">
        <is>
          <t>B</t>
        </is>
      </c>
      <c r="E17" s="11" t="n">
        <v>45793</v>
      </c>
      <c r="F17" s="11" t="n">
        <v>45808</v>
      </c>
      <c r="G17" s="11" t="n">
        <v>45808</v>
      </c>
      <c r="H17" s="11" t="n">
        <v>45813</v>
      </c>
      <c r="I17" s="11" t="n">
        <v>45818</v>
      </c>
      <c r="J17" s="5" t="inlineStr">
        <is>
          <t>CLOSED</t>
        </is>
      </c>
    </row>
    <row r="18">
      <c r="A18" s="2" t="inlineStr">
        <is>
          <t>FY2025-P06A</t>
        </is>
      </c>
      <c r="B18" s="10" t="n">
        <v>2025</v>
      </c>
      <c r="C18" s="10" t="n">
        <v>6</v>
      </c>
      <c r="D18" s="5" t="inlineStr">
        <is>
          <t>A</t>
        </is>
      </c>
      <c r="E18" s="11" t="n">
        <v>45809</v>
      </c>
      <c r="F18" s="11" t="n">
        <v>45823</v>
      </c>
      <c r="G18" s="11" t="n">
        <v>45823</v>
      </c>
      <c r="H18" s="11" t="n">
        <v>45828</v>
      </c>
      <c r="I18" s="11" t="n">
        <v>45848</v>
      </c>
      <c r="J18" s="5" t="inlineStr">
        <is>
          <t>CLOSED</t>
        </is>
      </c>
    </row>
    <row r="19">
      <c r="A19" s="2" t="inlineStr">
        <is>
          <t>FY2025-P06B</t>
        </is>
      </c>
      <c r="B19" s="10" t="n">
        <v>2025</v>
      </c>
      <c r="C19" s="10" t="n">
        <v>6</v>
      </c>
      <c r="D19" s="5" t="inlineStr">
        <is>
          <t>B</t>
        </is>
      </c>
      <c r="E19" s="11" t="n">
        <v>45824</v>
      </c>
      <c r="F19" s="11" t="n">
        <v>45838</v>
      </c>
      <c r="G19" s="11" t="n">
        <v>45838</v>
      </c>
      <c r="H19" s="11" t="n">
        <v>45843</v>
      </c>
      <c r="I19" s="11" t="n">
        <v>45848</v>
      </c>
      <c r="J19" s="5" t="inlineStr">
        <is>
          <t>CLOSED</t>
        </is>
      </c>
    </row>
    <row r="20">
      <c r="A20" s="2" t="inlineStr">
        <is>
          <t>FY2025-P07A</t>
        </is>
      </c>
      <c r="B20" s="10" t="n">
        <v>2025</v>
      </c>
      <c r="C20" s="10" t="n">
        <v>7</v>
      </c>
      <c r="D20" s="5" t="inlineStr">
        <is>
          <t>A</t>
        </is>
      </c>
      <c r="E20" s="11" t="n">
        <v>45839</v>
      </c>
      <c r="F20" s="11" t="n">
        <v>45853</v>
      </c>
      <c r="G20" s="11" t="n">
        <v>45853</v>
      </c>
      <c r="H20" s="11" t="n">
        <v>45858</v>
      </c>
      <c r="I20" s="11" t="n">
        <v>45879</v>
      </c>
      <c r="J20" s="5" t="inlineStr">
        <is>
          <t>CLOSED</t>
        </is>
      </c>
    </row>
    <row r="21">
      <c r="A21" s="2" t="inlineStr">
        <is>
          <t>FY2025-P07B</t>
        </is>
      </c>
      <c r="B21" s="10" t="n">
        <v>2025</v>
      </c>
      <c r="C21" s="10" t="n">
        <v>7</v>
      </c>
      <c r="D21" s="5" t="inlineStr">
        <is>
          <t>B</t>
        </is>
      </c>
      <c r="E21" s="11" t="n">
        <v>45854</v>
      </c>
      <c r="F21" s="11" t="n">
        <v>45869</v>
      </c>
      <c r="G21" s="11" t="n">
        <v>45869</v>
      </c>
      <c r="H21" s="11" t="n">
        <v>45874</v>
      </c>
      <c r="I21" s="11" t="n">
        <v>45879</v>
      </c>
      <c r="J21" s="5" t="inlineStr">
        <is>
          <t>CLOSED</t>
        </is>
      </c>
    </row>
    <row r="22">
      <c r="A22" s="2" t="inlineStr">
        <is>
          <t>FY2025-P08A</t>
        </is>
      </c>
      <c r="B22" s="10" t="n">
        <v>2025</v>
      </c>
      <c r="C22" s="10" t="n">
        <v>8</v>
      </c>
      <c r="D22" s="5" t="inlineStr">
        <is>
          <t>A</t>
        </is>
      </c>
      <c r="E22" s="11" t="n">
        <v>45870</v>
      </c>
      <c r="F22" s="11" t="n">
        <v>45884</v>
      </c>
      <c r="G22" s="11" t="n">
        <v>45884</v>
      </c>
      <c r="H22" s="11" t="n">
        <v>45889</v>
      </c>
      <c r="I22" s="11" t="n">
        <v>45910</v>
      </c>
      <c r="J22" s="5" t="inlineStr">
        <is>
          <t>CLOSED</t>
        </is>
      </c>
    </row>
    <row r="23">
      <c r="A23" s="2" t="inlineStr">
        <is>
          <t>FY2025-P08B</t>
        </is>
      </c>
      <c r="B23" s="10" t="n">
        <v>2025</v>
      </c>
      <c r="C23" s="10" t="n">
        <v>8</v>
      </c>
      <c r="D23" s="5" t="inlineStr">
        <is>
          <t>B</t>
        </is>
      </c>
      <c r="E23" s="11" t="n">
        <v>45885</v>
      </c>
      <c r="F23" s="11" t="n">
        <v>45900</v>
      </c>
      <c r="G23" s="11" t="n">
        <v>45900</v>
      </c>
      <c r="H23" s="11" t="n">
        <v>45905</v>
      </c>
      <c r="I23" s="11" t="n">
        <v>45910</v>
      </c>
      <c r="J23" s="5" t="inlineStr">
        <is>
          <t>CLOSED</t>
        </is>
      </c>
    </row>
    <row r="24">
      <c r="A24" s="2" t="inlineStr">
        <is>
          <t>FY2025-P09A</t>
        </is>
      </c>
      <c r="B24" s="10" t="n">
        <v>2025</v>
      </c>
      <c r="C24" s="10" t="n">
        <v>9</v>
      </c>
      <c r="D24" s="5" t="inlineStr">
        <is>
          <t>A</t>
        </is>
      </c>
      <c r="E24" s="11" t="n">
        <v>45901</v>
      </c>
      <c r="F24" s="11" t="n">
        <v>45915</v>
      </c>
      <c r="G24" s="11" t="n">
        <v>45915</v>
      </c>
      <c r="H24" s="11" t="n">
        <v>45920</v>
      </c>
      <c r="I24" s="11" t="n">
        <v>45940</v>
      </c>
      <c r="J24" s="5" t="inlineStr">
        <is>
          <t>CLOSED</t>
        </is>
      </c>
    </row>
    <row r="25">
      <c r="A25" s="2" t="inlineStr">
        <is>
          <t>FY2025-P09B</t>
        </is>
      </c>
      <c r="B25" s="10" t="n">
        <v>2025</v>
      </c>
      <c r="C25" s="10" t="n">
        <v>9</v>
      </c>
      <c r="D25" s="5" t="inlineStr">
        <is>
          <t>B</t>
        </is>
      </c>
      <c r="E25" s="11" t="n">
        <v>45916</v>
      </c>
      <c r="F25" s="11" t="n">
        <v>45930</v>
      </c>
      <c r="G25" s="11" t="n">
        <v>45930</v>
      </c>
      <c r="H25" s="11" t="n">
        <v>45935</v>
      </c>
      <c r="I25" s="11" t="n">
        <v>45940</v>
      </c>
      <c r="J25" s="5" t="inlineStr">
        <is>
          <t>CLOSED</t>
        </is>
      </c>
    </row>
    <row r="26">
      <c r="A26" s="2" t="inlineStr">
        <is>
          <t>FY2026-P10A</t>
        </is>
      </c>
      <c r="B26" s="10" t="n">
        <v>2026</v>
      </c>
      <c r="C26" s="10" t="n">
        <v>10</v>
      </c>
      <c r="D26" s="5" t="inlineStr">
        <is>
          <t>A</t>
        </is>
      </c>
      <c r="E26" s="11" t="n">
        <v>45931</v>
      </c>
      <c r="F26" s="11" t="n">
        <v>45945</v>
      </c>
      <c r="G26" s="11" t="n">
        <v>45945</v>
      </c>
      <c r="H26" s="11" t="n">
        <v>45950</v>
      </c>
      <c r="I26" s="11" t="n">
        <v>45971</v>
      </c>
      <c r="J26" s="5" t="inlineStr">
        <is>
          <t>CLOSED</t>
        </is>
      </c>
    </row>
    <row r="27">
      <c r="A27" s="2" t="inlineStr">
        <is>
          <t>FY2026-P10B</t>
        </is>
      </c>
      <c r="B27" s="10" t="n">
        <v>2026</v>
      </c>
      <c r="C27" s="10" t="n">
        <v>10</v>
      </c>
      <c r="D27" s="5" t="inlineStr">
        <is>
          <t>B</t>
        </is>
      </c>
      <c r="E27" s="11" t="n">
        <v>45946</v>
      </c>
      <c r="F27" s="11" t="n">
        <v>45961</v>
      </c>
      <c r="G27" s="11" t="n">
        <v>45961</v>
      </c>
      <c r="H27" s="11" t="n">
        <v>45966</v>
      </c>
      <c r="I27" s="11" t="n">
        <v>45971</v>
      </c>
      <c r="J27" s="5" t="inlineStr">
        <is>
          <t>CLOSED</t>
        </is>
      </c>
    </row>
    <row r="28">
      <c r="A28" s="2" t="inlineStr">
        <is>
          <t>FY2026-P11A</t>
        </is>
      </c>
      <c r="B28" s="10" t="n">
        <v>2026</v>
      </c>
      <c r="C28" s="10" t="n">
        <v>11</v>
      </c>
      <c r="D28" s="5" t="inlineStr">
        <is>
          <t>A</t>
        </is>
      </c>
      <c r="E28" s="11" t="n">
        <v>45962</v>
      </c>
      <c r="F28" s="11" t="n">
        <v>45976</v>
      </c>
      <c r="G28" s="11" t="n">
        <v>45976</v>
      </c>
      <c r="H28" s="11" t="n">
        <v>45981</v>
      </c>
      <c r="I28" s="11" t="n">
        <v>46001</v>
      </c>
      <c r="J28" s="5" t="inlineStr">
        <is>
          <t>CLOSED</t>
        </is>
      </c>
    </row>
    <row r="29">
      <c r="A29" s="2" t="inlineStr">
        <is>
          <t>FY2026-P11B</t>
        </is>
      </c>
      <c r="B29" s="10" t="n">
        <v>2026</v>
      </c>
      <c r="C29" s="10" t="n">
        <v>11</v>
      </c>
      <c r="D29" s="5" t="inlineStr">
        <is>
          <t>B</t>
        </is>
      </c>
      <c r="E29" s="11" t="n">
        <v>45977</v>
      </c>
      <c r="F29" s="11" t="n">
        <v>45991</v>
      </c>
      <c r="G29" s="11" t="n">
        <v>45991</v>
      </c>
      <c r="H29" s="11" t="n">
        <v>45996</v>
      </c>
      <c r="I29" s="11" t="n">
        <v>46001</v>
      </c>
      <c r="J29" s="5" t="inlineStr">
        <is>
          <t>CLOSED</t>
        </is>
      </c>
    </row>
    <row r="30">
      <c r="A30" s="2" t="inlineStr">
        <is>
          <t>FY2026-P12A</t>
        </is>
      </c>
      <c r="B30" s="10" t="n">
        <v>2026</v>
      </c>
      <c r="C30" s="10" t="n">
        <v>12</v>
      </c>
      <c r="D30" s="5" t="inlineStr">
        <is>
          <t>A</t>
        </is>
      </c>
      <c r="E30" s="11" t="n">
        <v>45992</v>
      </c>
      <c r="F30" s="11" t="n">
        <v>46006</v>
      </c>
      <c r="G30" s="11" t="n">
        <v>46006</v>
      </c>
      <c r="H30" s="11" t="n">
        <v>46011</v>
      </c>
      <c r="I30" s="11" t="n">
        <v>46032</v>
      </c>
      <c r="J30" s="5" t="inlineStr">
        <is>
          <t>CLOSED</t>
        </is>
      </c>
    </row>
    <row r="31">
      <c r="A31" s="2" t="inlineStr">
        <is>
          <t>FY2026-P12B</t>
        </is>
      </c>
      <c r="B31" s="10" t="n">
        <v>2026</v>
      </c>
      <c r="C31" s="10" t="n">
        <v>12</v>
      </c>
      <c r="D31" s="5" t="inlineStr">
        <is>
          <t>B</t>
        </is>
      </c>
      <c r="E31" s="11" t="n">
        <v>46007</v>
      </c>
      <c r="F31" s="11" t="n">
        <v>46022</v>
      </c>
      <c r="G31" s="11" t="n">
        <v>46022</v>
      </c>
      <c r="H31" s="11" t="n">
        <v>46027</v>
      </c>
      <c r="I31" s="11" t="n">
        <v>46032</v>
      </c>
      <c r="J31" s="5" t="inlineStr">
        <is>
          <t>CLOSED</t>
        </is>
      </c>
    </row>
    <row r="32">
      <c r="A32" s="2" t="inlineStr">
        <is>
          <t>FY2026-P01A</t>
        </is>
      </c>
      <c r="B32" s="10" t="n">
        <v>2026</v>
      </c>
      <c r="C32" s="10" t="n">
        <v>1</v>
      </c>
      <c r="D32" s="5" t="inlineStr">
        <is>
          <t>A</t>
        </is>
      </c>
      <c r="E32" s="11" t="n">
        <v>46023</v>
      </c>
      <c r="F32" s="11" t="n">
        <v>46037</v>
      </c>
      <c r="G32" s="11" t="n">
        <v>46037</v>
      </c>
      <c r="H32" s="11" t="n">
        <v>46042</v>
      </c>
      <c r="I32" s="11" t="n">
        <v>46063</v>
      </c>
      <c r="J32" s="5" t="inlineStr">
        <is>
          <t>CLOSED</t>
        </is>
      </c>
    </row>
    <row r="33">
      <c r="A33" s="2" t="inlineStr">
        <is>
          <t>FY2026-P01B</t>
        </is>
      </c>
      <c r="B33" s="10" t="n">
        <v>2026</v>
      </c>
      <c r="C33" s="10" t="n">
        <v>1</v>
      </c>
      <c r="D33" s="5" t="inlineStr">
        <is>
          <t>B</t>
        </is>
      </c>
      <c r="E33" s="11" t="n">
        <v>46038</v>
      </c>
      <c r="F33" s="11" t="n">
        <v>46053</v>
      </c>
      <c r="G33" s="11" t="n">
        <v>46053</v>
      </c>
      <c r="H33" s="11" t="n">
        <v>46058</v>
      </c>
      <c r="I33" s="11" t="n">
        <v>46063</v>
      </c>
      <c r="J33" s="5" t="inlineStr">
        <is>
          <t>CLOSED</t>
        </is>
      </c>
    </row>
    <row r="34">
      <c r="A34" s="2" t="inlineStr">
        <is>
          <t>FY2026-P02A</t>
        </is>
      </c>
      <c r="B34" s="10" t="n">
        <v>2026</v>
      </c>
      <c r="C34" s="10" t="n">
        <v>2</v>
      </c>
      <c r="D34" s="5" t="inlineStr">
        <is>
          <t>A</t>
        </is>
      </c>
      <c r="E34" s="11" t="n">
        <v>46054</v>
      </c>
      <c r="F34" s="11" t="n">
        <v>46068</v>
      </c>
      <c r="G34" s="11" t="n">
        <v>46068</v>
      </c>
      <c r="H34" s="11" t="n">
        <v>46073</v>
      </c>
      <c r="I34" s="11" t="n">
        <v>46091</v>
      </c>
      <c r="J34" s="5" t="inlineStr">
        <is>
          <t>CLOSED</t>
        </is>
      </c>
    </row>
    <row r="35">
      <c r="A35" s="2" t="inlineStr">
        <is>
          <t>FY2026-P02B</t>
        </is>
      </c>
      <c r="B35" s="10" t="n">
        <v>2026</v>
      </c>
      <c r="C35" s="10" t="n">
        <v>2</v>
      </c>
      <c r="D35" s="5" t="inlineStr">
        <is>
          <t>B</t>
        </is>
      </c>
      <c r="E35" s="11" t="n">
        <v>46069</v>
      </c>
      <c r="F35" s="11" t="n">
        <v>46081</v>
      </c>
      <c r="G35" s="11" t="n">
        <v>46081</v>
      </c>
      <c r="H35" s="11" t="n">
        <v>46086</v>
      </c>
      <c r="I35" s="11" t="n">
        <v>46091</v>
      </c>
      <c r="J35" s="5" t="inlineStr">
        <is>
          <t>CLOSED</t>
        </is>
      </c>
    </row>
    <row r="36">
      <c r="A36" s="2" t="inlineStr">
        <is>
          <t>FY2026-P03A</t>
        </is>
      </c>
      <c r="B36" s="10" t="n">
        <v>2026</v>
      </c>
      <c r="C36" s="10" t="n">
        <v>3</v>
      </c>
      <c r="D36" s="5" t="inlineStr">
        <is>
          <t>A</t>
        </is>
      </c>
      <c r="E36" s="11" t="n">
        <v>46082</v>
      </c>
      <c r="F36" s="11" t="n">
        <v>46096</v>
      </c>
      <c r="G36" s="11" t="n">
        <v>46096</v>
      </c>
      <c r="H36" s="11" t="n">
        <v>46101</v>
      </c>
      <c r="I36" s="11" t="n">
        <v>46122</v>
      </c>
      <c r="J36" s="5" t="inlineStr">
        <is>
          <t>CLOSED</t>
        </is>
      </c>
    </row>
    <row r="37">
      <c r="A37" s="2" t="inlineStr">
        <is>
          <t>FY2026-P03B</t>
        </is>
      </c>
      <c r="B37" s="10" t="n">
        <v>2026</v>
      </c>
      <c r="C37" s="10" t="n">
        <v>3</v>
      </c>
      <c r="D37" s="5" t="inlineStr">
        <is>
          <t>B</t>
        </is>
      </c>
      <c r="E37" s="11" t="n">
        <v>46097</v>
      </c>
      <c r="F37" s="11" t="n">
        <v>46112</v>
      </c>
      <c r="G37" s="11" t="n">
        <v>46112</v>
      </c>
      <c r="H37" s="11" t="n">
        <v>46117</v>
      </c>
      <c r="I37" s="11" t="n">
        <v>46122</v>
      </c>
      <c r="J37" s="5" t="inlineStr">
        <is>
          <t>CLOSED</t>
        </is>
      </c>
    </row>
    <row r="38">
      <c r="A38" s="2" t="inlineStr">
        <is>
          <t>FY2026-P04A</t>
        </is>
      </c>
      <c r="B38" s="10" t="n">
        <v>2026</v>
      </c>
      <c r="C38" s="10" t="n">
        <v>4</v>
      </c>
      <c r="D38" s="5" t="inlineStr">
        <is>
          <t>A</t>
        </is>
      </c>
      <c r="E38" s="11" t="n">
        <v>46113</v>
      </c>
      <c r="F38" s="11" t="n">
        <v>46127</v>
      </c>
      <c r="G38" s="11" t="n">
        <v>46127</v>
      </c>
      <c r="H38" s="11" t="n">
        <v>46132</v>
      </c>
      <c r="I38" s="11" t="n">
        <v>46152</v>
      </c>
      <c r="J38" s="5" t="inlineStr">
        <is>
          <t>CLOSED</t>
        </is>
      </c>
    </row>
    <row r="39">
      <c r="A39" s="2" t="inlineStr">
        <is>
          <t>FY2026-P04B</t>
        </is>
      </c>
      <c r="B39" s="10" t="n">
        <v>2026</v>
      </c>
      <c r="C39" s="10" t="n">
        <v>4</v>
      </c>
      <c r="D39" s="5" t="inlineStr">
        <is>
          <t>B</t>
        </is>
      </c>
      <c r="E39" s="11" t="n">
        <v>46128</v>
      </c>
      <c r="F39" s="11" t="n">
        <v>46142</v>
      </c>
      <c r="G39" s="11" t="n">
        <v>46142</v>
      </c>
      <c r="H39" s="11" t="n">
        <v>46147</v>
      </c>
      <c r="I39" s="11" t="n">
        <v>46152</v>
      </c>
      <c r="J39" s="5" t="inlineStr">
        <is>
          <t>CLOSED</t>
        </is>
      </c>
    </row>
    <row r="40">
      <c r="A40" s="2" t="inlineStr">
        <is>
          <t>FY2026-P05A</t>
        </is>
      </c>
      <c r="B40" s="10" t="n">
        <v>2026</v>
      </c>
      <c r="C40" s="10" t="n">
        <v>5</v>
      </c>
      <c r="D40" s="5" t="inlineStr">
        <is>
          <t>A</t>
        </is>
      </c>
      <c r="E40" s="11" t="n">
        <v>46143</v>
      </c>
      <c r="F40" s="11" t="n">
        <v>46157</v>
      </c>
      <c r="G40" s="11" t="n">
        <v>46157</v>
      </c>
      <c r="H40" s="11" t="n">
        <v>46162</v>
      </c>
      <c r="I40" s="11" t="n">
        <v>46183</v>
      </c>
      <c r="J40" s="5" t="inlineStr">
        <is>
          <t>CLOSED</t>
        </is>
      </c>
    </row>
    <row r="41">
      <c r="A41" s="2" t="inlineStr">
        <is>
          <t>FY2026-P05B</t>
        </is>
      </c>
      <c r="B41" s="10" t="n">
        <v>2026</v>
      </c>
      <c r="C41" s="10" t="n">
        <v>5</v>
      </c>
      <c r="D41" s="5" t="inlineStr">
        <is>
          <t>B</t>
        </is>
      </c>
      <c r="E41" s="11" t="n">
        <v>46158</v>
      </c>
      <c r="F41" s="11" t="n">
        <v>46173</v>
      </c>
      <c r="G41" s="11" t="n">
        <v>46173</v>
      </c>
      <c r="H41" s="11" t="n">
        <v>46178</v>
      </c>
      <c r="I41" s="11" t="n">
        <v>46183</v>
      </c>
      <c r="J41" s="5" t="inlineStr">
        <is>
          <t>CLOSED</t>
        </is>
      </c>
    </row>
    <row r="42">
      <c r="A42" s="2" t="inlineStr">
        <is>
          <t>FY2026-P06A</t>
        </is>
      </c>
      <c r="B42" s="10" t="n">
        <v>2026</v>
      </c>
      <c r="C42" s="10" t="n">
        <v>6</v>
      </c>
      <c r="D42" s="5" t="inlineStr">
        <is>
          <t>A</t>
        </is>
      </c>
      <c r="E42" s="11" t="n">
        <v>46174</v>
      </c>
      <c r="F42" s="11" t="n">
        <v>46188</v>
      </c>
      <c r="G42" s="11" t="n">
        <v>46188</v>
      </c>
      <c r="H42" s="11" t="n">
        <v>46193</v>
      </c>
      <c r="I42" s="11" t="n">
        <v>46213</v>
      </c>
      <c r="J42" s="5" t="inlineStr">
        <is>
          <t>CLOSED</t>
        </is>
      </c>
    </row>
    <row r="43">
      <c r="A43" s="2" t="inlineStr">
        <is>
          <t>FY2026-P06B</t>
        </is>
      </c>
      <c r="B43" s="10" t="n">
        <v>2026</v>
      </c>
      <c r="C43" s="10" t="n">
        <v>6</v>
      </c>
      <c r="D43" s="5" t="inlineStr">
        <is>
          <t>B</t>
        </is>
      </c>
      <c r="E43" s="11" t="n">
        <v>46189</v>
      </c>
      <c r="F43" s="11" t="n">
        <v>46203</v>
      </c>
      <c r="G43" s="11" t="n">
        <v>46203</v>
      </c>
      <c r="H43" s="11" t="n">
        <v>46208</v>
      </c>
      <c r="I43" s="11" t="n">
        <v>46213</v>
      </c>
      <c r="J43" s="5" t="inlineStr">
        <is>
          <t>CLOSED</t>
        </is>
      </c>
    </row>
    <row r="44">
      <c r="A44" s="2" t="inlineStr">
        <is>
          <t>FY2026-P07A</t>
        </is>
      </c>
      <c r="B44" s="10" t="n">
        <v>2026</v>
      </c>
      <c r="C44" s="10" t="n">
        <v>7</v>
      </c>
      <c r="D44" s="5" t="inlineStr">
        <is>
          <t>A</t>
        </is>
      </c>
      <c r="E44" s="11" t="n">
        <v>46204</v>
      </c>
      <c r="F44" s="11" t="n">
        <v>46218</v>
      </c>
      <c r="G44" s="11" t="n">
        <v>46218</v>
      </c>
      <c r="H44" s="11" t="n">
        <v>46223</v>
      </c>
      <c r="I44" s="11" t="n">
        <v>46244</v>
      </c>
      <c r="J44" s="5" t="inlineStr">
        <is>
          <t>CLOSED</t>
        </is>
      </c>
    </row>
    <row r="45">
      <c r="A45" s="2" t="inlineStr">
        <is>
          <t>FY2026-P07B</t>
        </is>
      </c>
      <c r="B45" s="10" t="n">
        <v>2026</v>
      </c>
      <c r="C45" s="10" t="n">
        <v>7</v>
      </c>
      <c r="D45" s="5" t="inlineStr">
        <is>
          <t>B</t>
        </is>
      </c>
      <c r="E45" s="11" t="n">
        <v>46219</v>
      </c>
      <c r="F45" s="11" t="n">
        <v>46234</v>
      </c>
      <c r="G45" s="11" t="n">
        <v>46234</v>
      </c>
      <c r="H45" s="11" t="n">
        <v>46239</v>
      </c>
      <c r="I45" s="11" t="n">
        <v>46244</v>
      </c>
      <c r="J45" s="5" t="inlineStr">
        <is>
          <t>OPEN</t>
        </is>
      </c>
    </row>
    <row r="46">
      <c r="A46" s="2" t="inlineStr">
        <is>
          <t>FY2026-P08A</t>
        </is>
      </c>
      <c r="B46" s="10" t="n">
        <v>2026</v>
      </c>
      <c r="C46" s="10" t="n">
        <v>8</v>
      </c>
      <c r="D46" s="5" t="inlineStr">
        <is>
          <t>A</t>
        </is>
      </c>
      <c r="E46" s="11" t="n">
        <v>46235</v>
      </c>
      <c r="F46" s="11" t="n">
        <v>46249</v>
      </c>
      <c r="G46" s="11" t="n">
        <v>46249</v>
      </c>
      <c r="H46" s="11" t="n">
        <v>46254</v>
      </c>
      <c r="I46" s="11" t="n">
        <v>46275</v>
      </c>
      <c r="J46" s="5" t="inlineStr">
        <is>
          <t>OPEN</t>
        </is>
      </c>
    </row>
    <row r="47">
      <c r="A47" s="2" t="inlineStr">
        <is>
          <t>FY2026-P08B</t>
        </is>
      </c>
      <c r="B47" s="10" t="n">
        <v>2026</v>
      </c>
      <c r="C47" s="10" t="n">
        <v>8</v>
      </c>
      <c r="D47" s="5" t="inlineStr">
        <is>
          <t>B</t>
        </is>
      </c>
      <c r="E47" s="11" t="n">
        <v>46250</v>
      </c>
      <c r="F47" s="11" t="n">
        <v>46265</v>
      </c>
      <c r="G47" s="11" t="n">
        <v>46265</v>
      </c>
      <c r="H47" s="11" t="n">
        <v>46270</v>
      </c>
      <c r="I47" s="11" t="n">
        <v>46275</v>
      </c>
      <c r="J47" s="5" t="inlineStr">
        <is>
          <t>OPEN</t>
        </is>
      </c>
    </row>
    <row r="48">
      <c r="A48" s="2" t="inlineStr">
        <is>
          <t>FY2026-P09A</t>
        </is>
      </c>
      <c r="B48" s="10" t="n">
        <v>2026</v>
      </c>
      <c r="C48" s="10" t="n">
        <v>9</v>
      </c>
      <c r="D48" s="5" t="inlineStr">
        <is>
          <t>A</t>
        </is>
      </c>
      <c r="E48" s="11" t="n">
        <v>46266</v>
      </c>
      <c r="F48" s="11" t="n">
        <v>46280</v>
      </c>
      <c r="G48" s="11" t="n">
        <v>46280</v>
      </c>
      <c r="H48" s="11" t="n">
        <v>46285</v>
      </c>
      <c r="I48" s="11" t="n">
        <v>46305</v>
      </c>
      <c r="J48" s="5" t="inlineStr">
        <is>
          <t>OPEN</t>
        </is>
      </c>
    </row>
    <row r="49">
      <c r="A49" s="2" t="inlineStr">
        <is>
          <t>FY2026-P09B</t>
        </is>
      </c>
      <c r="B49" s="10" t="n">
        <v>2026</v>
      </c>
      <c r="C49" s="10" t="n">
        <v>9</v>
      </c>
      <c r="D49" s="5" t="inlineStr">
        <is>
          <t>B</t>
        </is>
      </c>
      <c r="E49" s="11" t="n">
        <v>46281</v>
      </c>
      <c r="F49" s="11" t="n">
        <v>46295</v>
      </c>
      <c r="G49" s="11" t="n">
        <v>46295</v>
      </c>
      <c r="H49" s="11" t="n">
        <v>46300</v>
      </c>
      <c r="I49" s="11" t="n">
        <v>46305</v>
      </c>
      <c r="J49" s="5" t="inlineStr">
        <is>
          <t>OPEN</t>
        </is>
      </c>
    </row>
    <row r="50">
      <c r="A50" s="2" t="inlineStr">
        <is>
          <t>FY2027-P10A</t>
        </is>
      </c>
      <c r="B50" s="10" t="n">
        <v>2027</v>
      </c>
      <c r="C50" s="10" t="n">
        <v>10</v>
      </c>
      <c r="D50" s="5" t="inlineStr">
        <is>
          <t>A</t>
        </is>
      </c>
      <c r="E50" s="11" t="n">
        <v>46296</v>
      </c>
      <c r="F50" s="11" t="n">
        <v>46310</v>
      </c>
      <c r="G50" s="11" t="n">
        <v>46310</v>
      </c>
      <c r="H50" s="11" t="n">
        <v>46315</v>
      </c>
      <c r="I50" s="11" t="n">
        <v>46336</v>
      </c>
      <c r="J50" s="5" t="inlineStr">
        <is>
          <t>OPEN</t>
        </is>
      </c>
    </row>
    <row r="51">
      <c r="A51" s="2" t="inlineStr">
        <is>
          <t>FY2027-P10B</t>
        </is>
      </c>
      <c r="B51" s="10" t="n">
        <v>2027</v>
      </c>
      <c r="C51" s="10" t="n">
        <v>10</v>
      </c>
      <c r="D51" s="5" t="inlineStr">
        <is>
          <t>B</t>
        </is>
      </c>
      <c r="E51" s="11" t="n">
        <v>46311</v>
      </c>
      <c r="F51" s="11" t="n">
        <v>46326</v>
      </c>
      <c r="G51" s="11" t="n">
        <v>46326</v>
      </c>
      <c r="H51" s="11" t="n">
        <v>46331</v>
      </c>
      <c r="I51" s="11" t="n">
        <v>46336</v>
      </c>
      <c r="J51" s="5" t="inlineStr">
        <is>
          <t>OPEN</t>
        </is>
      </c>
    </row>
    <row r="52">
      <c r="A52" s="2" t="inlineStr">
        <is>
          <t>FY2027-P11A</t>
        </is>
      </c>
      <c r="B52" s="10" t="n">
        <v>2027</v>
      </c>
      <c r="C52" s="10" t="n">
        <v>11</v>
      </c>
      <c r="D52" s="5" t="inlineStr">
        <is>
          <t>A</t>
        </is>
      </c>
      <c r="E52" s="11" t="n">
        <v>46327</v>
      </c>
      <c r="F52" s="11" t="n">
        <v>46341</v>
      </c>
      <c r="G52" s="11" t="n">
        <v>46341</v>
      </c>
      <c r="H52" s="11" t="n">
        <v>46346</v>
      </c>
      <c r="I52" s="11" t="n">
        <v>46366</v>
      </c>
      <c r="J52" s="5" t="inlineStr">
        <is>
          <t>OPEN</t>
        </is>
      </c>
    </row>
    <row r="53">
      <c r="A53" s="2" t="inlineStr">
        <is>
          <t>FY2027-P11B</t>
        </is>
      </c>
      <c r="B53" s="10" t="n">
        <v>2027</v>
      </c>
      <c r="C53" s="10" t="n">
        <v>11</v>
      </c>
      <c r="D53" s="5" t="inlineStr">
        <is>
          <t>B</t>
        </is>
      </c>
      <c r="E53" s="11" t="n">
        <v>46342</v>
      </c>
      <c r="F53" s="11" t="n">
        <v>46356</v>
      </c>
      <c r="G53" s="11" t="n">
        <v>46356</v>
      </c>
      <c r="H53" s="11" t="n">
        <v>46361</v>
      </c>
      <c r="I53" s="11" t="n">
        <v>46366</v>
      </c>
      <c r="J53" s="5" t="inlineStr">
        <is>
          <t>OPEN</t>
        </is>
      </c>
    </row>
    <row r="54">
      <c r="A54" s="2" t="inlineStr">
        <is>
          <t>FY2027-P12A</t>
        </is>
      </c>
      <c r="B54" s="10" t="n">
        <v>2027</v>
      </c>
      <c r="C54" s="10" t="n">
        <v>12</v>
      </c>
      <c r="D54" s="5" t="inlineStr">
        <is>
          <t>A</t>
        </is>
      </c>
      <c r="E54" s="11" t="n">
        <v>46357</v>
      </c>
      <c r="F54" s="11" t="n">
        <v>46371</v>
      </c>
      <c r="G54" s="11" t="n">
        <v>46371</v>
      </c>
      <c r="H54" s="11" t="n">
        <v>46376</v>
      </c>
      <c r="I54" s="11" t="n">
        <v>46397</v>
      </c>
      <c r="J54" s="5" t="inlineStr">
        <is>
          <t>OPEN</t>
        </is>
      </c>
    </row>
    <row r="55">
      <c r="A55" s="2" t="inlineStr">
        <is>
          <t>FY2027-P12B</t>
        </is>
      </c>
      <c r="B55" s="10" t="n">
        <v>2027</v>
      </c>
      <c r="C55" s="10" t="n">
        <v>12</v>
      </c>
      <c r="D55" s="5" t="inlineStr">
        <is>
          <t>B</t>
        </is>
      </c>
      <c r="E55" s="11" t="n">
        <v>46372</v>
      </c>
      <c r="F55" s="11" t="n">
        <v>46387</v>
      </c>
      <c r="G55" s="11" t="n">
        <v>46387</v>
      </c>
      <c r="H55" s="11" t="n">
        <v>46392</v>
      </c>
      <c r="I55" s="11" t="n">
        <v>46397</v>
      </c>
      <c r="J55" s="5" t="inlineStr">
        <is>
          <t>OPEN</t>
        </is>
      </c>
    </row>
    <row r="56">
      <c r="A56" s="2" t="inlineStr">
        <is>
          <t>FY2027-P01A</t>
        </is>
      </c>
      <c r="B56" s="10" t="n">
        <v>2027</v>
      </c>
      <c r="C56" s="10" t="n">
        <v>1</v>
      </c>
      <c r="D56" s="5" t="inlineStr">
        <is>
          <t>A</t>
        </is>
      </c>
      <c r="E56" s="11" t="n">
        <v>46388</v>
      </c>
      <c r="F56" s="11" t="n">
        <v>46402</v>
      </c>
      <c r="G56" s="11" t="n">
        <v>46402</v>
      </c>
      <c r="H56" s="11" t="n">
        <v>46407</v>
      </c>
      <c r="I56" s="11" t="n">
        <v>46428</v>
      </c>
      <c r="J56" s="5" t="inlineStr">
        <is>
          <t>OPEN</t>
        </is>
      </c>
    </row>
    <row r="57">
      <c r="A57" s="2" t="inlineStr">
        <is>
          <t>FY2027-P01B</t>
        </is>
      </c>
      <c r="B57" s="10" t="n">
        <v>2027</v>
      </c>
      <c r="C57" s="10" t="n">
        <v>1</v>
      </c>
      <c r="D57" s="5" t="inlineStr">
        <is>
          <t>B</t>
        </is>
      </c>
      <c r="E57" s="11" t="n">
        <v>46403</v>
      </c>
      <c r="F57" s="11" t="n">
        <v>46418</v>
      </c>
      <c r="G57" s="11" t="n">
        <v>46418</v>
      </c>
      <c r="H57" s="11" t="n">
        <v>46423</v>
      </c>
      <c r="I57" s="11" t="n">
        <v>46428</v>
      </c>
      <c r="J57" s="5" t="inlineStr">
        <is>
          <t>OPEN</t>
        </is>
      </c>
    </row>
    <row r="58">
      <c r="A58" s="2" t="inlineStr">
        <is>
          <t>FY2027-P02A</t>
        </is>
      </c>
      <c r="B58" s="10" t="n">
        <v>2027</v>
      </c>
      <c r="C58" s="10" t="n">
        <v>2</v>
      </c>
      <c r="D58" s="5" t="inlineStr">
        <is>
          <t>A</t>
        </is>
      </c>
      <c r="E58" s="11" t="n">
        <v>46419</v>
      </c>
      <c r="F58" s="11" t="n">
        <v>46433</v>
      </c>
      <c r="G58" s="11" t="n">
        <v>46433</v>
      </c>
      <c r="H58" s="11" t="n">
        <v>46438</v>
      </c>
      <c r="I58" s="11" t="n">
        <v>46456</v>
      </c>
      <c r="J58" s="5" t="inlineStr">
        <is>
          <t>OPEN</t>
        </is>
      </c>
    </row>
    <row r="59">
      <c r="A59" s="2" t="inlineStr">
        <is>
          <t>FY2027-P02B</t>
        </is>
      </c>
      <c r="B59" s="10" t="n">
        <v>2027</v>
      </c>
      <c r="C59" s="10" t="n">
        <v>2</v>
      </c>
      <c r="D59" s="5" t="inlineStr">
        <is>
          <t>B</t>
        </is>
      </c>
      <c r="E59" s="11" t="n">
        <v>46434</v>
      </c>
      <c r="F59" s="11" t="n">
        <v>46446</v>
      </c>
      <c r="G59" s="11" t="n">
        <v>46446</v>
      </c>
      <c r="H59" s="11" t="n">
        <v>46451</v>
      </c>
      <c r="I59" s="11" t="n">
        <v>46456</v>
      </c>
      <c r="J59" s="5" t="inlineStr">
        <is>
          <t>OPEN</t>
        </is>
      </c>
    </row>
    <row r="60">
      <c r="A60" s="2" t="inlineStr">
        <is>
          <t>FY2027-P03A</t>
        </is>
      </c>
      <c r="B60" s="10" t="n">
        <v>2027</v>
      </c>
      <c r="C60" s="10" t="n">
        <v>3</v>
      </c>
      <c r="D60" s="5" t="inlineStr">
        <is>
          <t>A</t>
        </is>
      </c>
      <c r="E60" s="11" t="n">
        <v>46447</v>
      </c>
      <c r="F60" s="11" t="n">
        <v>46461</v>
      </c>
      <c r="G60" s="11" t="n">
        <v>46461</v>
      </c>
      <c r="H60" s="11" t="n">
        <v>46466</v>
      </c>
      <c r="I60" s="11" t="n">
        <v>46487</v>
      </c>
      <c r="J60" s="5" t="inlineStr">
        <is>
          <t>OPEN</t>
        </is>
      </c>
    </row>
    <row r="61">
      <c r="A61" s="2" t="inlineStr">
        <is>
          <t>FY2027-P03B</t>
        </is>
      </c>
      <c r="B61" s="10" t="n">
        <v>2027</v>
      </c>
      <c r="C61" s="10" t="n">
        <v>3</v>
      </c>
      <c r="D61" s="5" t="inlineStr">
        <is>
          <t>B</t>
        </is>
      </c>
      <c r="E61" s="11" t="n">
        <v>46462</v>
      </c>
      <c r="F61" s="11" t="n">
        <v>46477</v>
      </c>
      <c r="G61" s="11" t="n">
        <v>46477</v>
      </c>
      <c r="H61" s="11" t="n">
        <v>46482</v>
      </c>
      <c r="I61" s="11" t="n">
        <v>46487</v>
      </c>
      <c r="J61" s="5" t="inlineStr">
        <is>
          <t>OPEN</t>
        </is>
      </c>
    </row>
    <row r="62">
      <c r="A62" s="2" t="inlineStr">
        <is>
          <t>FY2027-P04A</t>
        </is>
      </c>
      <c r="B62" s="10" t="n">
        <v>2027</v>
      </c>
      <c r="C62" s="10" t="n">
        <v>4</v>
      </c>
      <c r="D62" s="5" t="inlineStr">
        <is>
          <t>A</t>
        </is>
      </c>
      <c r="E62" s="11" t="n">
        <v>46478</v>
      </c>
      <c r="F62" s="11" t="n">
        <v>46492</v>
      </c>
      <c r="G62" s="11" t="n">
        <v>46492</v>
      </c>
      <c r="H62" s="11" t="n">
        <v>46497</v>
      </c>
      <c r="I62" s="11" t="n">
        <v>46517</v>
      </c>
      <c r="J62" s="5" t="inlineStr">
        <is>
          <t>OPEN</t>
        </is>
      </c>
    </row>
    <row r="63">
      <c r="A63" s="2" t="inlineStr">
        <is>
          <t>FY2027-P04B</t>
        </is>
      </c>
      <c r="B63" s="10" t="n">
        <v>2027</v>
      </c>
      <c r="C63" s="10" t="n">
        <v>4</v>
      </c>
      <c r="D63" s="5" t="inlineStr">
        <is>
          <t>B</t>
        </is>
      </c>
      <c r="E63" s="11" t="n">
        <v>46493</v>
      </c>
      <c r="F63" s="11" t="n">
        <v>46507</v>
      </c>
      <c r="G63" s="11" t="n">
        <v>46507</v>
      </c>
      <c r="H63" s="11" t="n">
        <v>46512</v>
      </c>
      <c r="I63" s="11" t="n">
        <v>46517</v>
      </c>
      <c r="J63" s="5" t="inlineStr">
        <is>
          <t>OPEN</t>
        </is>
      </c>
    </row>
    <row r="64">
      <c r="A64" s="2" t="inlineStr">
        <is>
          <t>FY2027-P05A</t>
        </is>
      </c>
      <c r="B64" s="10" t="n">
        <v>2027</v>
      </c>
      <c r="C64" s="10" t="n">
        <v>5</v>
      </c>
      <c r="D64" s="5" t="inlineStr">
        <is>
          <t>A</t>
        </is>
      </c>
      <c r="E64" s="11" t="n">
        <v>46508</v>
      </c>
      <c r="F64" s="11" t="n">
        <v>46522</v>
      </c>
      <c r="G64" s="11" t="n">
        <v>46522</v>
      </c>
      <c r="H64" s="11" t="n">
        <v>46527</v>
      </c>
      <c r="I64" s="11" t="n">
        <v>46548</v>
      </c>
      <c r="J64" s="5" t="inlineStr">
        <is>
          <t>OPEN</t>
        </is>
      </c>
    </row>
    <row r="65">
      <c r="A65" s="2" t="inlineStr">
        <is>
          <t>FY2027-P05B</t>
        </is>
      </c>
      <c r="B65" s="10" t="n">
        <v>2027</v>
      </c>
      <c r="C65" s="10" t="n">
        <v>5</v>
      </c>
      <c r="D65" s="5" t="inlineStr">
        <is>
          <t>B</t>
        </is>
      </c>
      <c r="E65" s="11" t="n">
        <v>46523</v>
      </c>
      <c r="F65" s="11" t="n">
        <v>46538</v>
      </c>
      <c r="G65" s="11" t="n">
        <v>46538</v>
      </c>
      <c r="H65" s="11" t="n">
        <v>46543</v>
      </c>
      <c r="I65" s="11" t="n">
        <v>46548</v>
      </c>
      <c r="J65" s="5" t="inlineStr">
        <is>
          <t>OPEN</t>
        </is>
      </c>
    </row>
    <row r="66">
      <c r="A66" s="2" t="inlineStr">
        <is>
          <t>FY2027-P06A</t>
        </is>
      </c>
      <c r="B66" s="10" t="n">
        <v>2027</v>
      </c>
      <c r="C66" s="10" t="n">
        <v>6</v>
      </c>
      <c r="D66" s="5" t="inlineStr">
        <is>
          <t>A</t>
        </is>
      </c>
      <c r="E66" s="11" t="n">
        <v>46539</v>
      </c>
      <c r="F66" s="11" t="n">
        <v>46553</v>
      </c>
      <c r="G66" s="11" t="n">
        <v>46553</v>
      </c>
      <c r="H66" s="11" t="n">
        <v>46558</v>
      </c>
      <c r="I66" s="11" t="n">
        <v>46578</v>
      </c>
      <c r="J66" s="5" t="inlineStr">
        <is>
          <t>OPEN</t>
        </is>
      </c>
    </row>
    <row r="67">
      <c r="A67" s="2" t="inlineStr">
        <is>
          <t>FY2027-P06B</t>
        </is>
      </c>
      <c r="B67" s="10" t="n">
        <v>2027</v>
      </c>
      <c r="C67" s="10" t="n">
        <v>6</v>
      </c>
      <c r="D67" s="5" t="inlineStr">
        <is>
          <t>B</t>
        </is>
      </c>
      <c r="E67" s="11" t="n">
        <v>46554</v>
      </c>
      <c r="F67" s="11" t="n">
        <v>46568</v>
      </c>
      <c r="G67" s="11" t="n">
        <v>46568</v>
      </c>
      <c r="H67" s="11" t="n">
        <v>46573</v>
      </c>
      <c r="I67" s="11" t="n">
        <v>46578</v>
      </c>
      <c r="J67" s="5" t="inlineStr">
        <is>
          <t>OPEN</t>
        </is>
      </c>
    </row>
    <row r="68">
      <c r="A68" s="2" t="inlineStr">
        <is>
          <t>FY2027-P07A</t>
        </is>
      </c>
      <c r="B68" s="10" t="n">
        <v>2027</v>
      </c>
      <c r="C68" s="10" t="n">
        <v>7</v>
      </c>
      <c r="D68" s="5" t="inlineStr">
        <is>
          <t>A</t>
        </is>
      </c>
      <c r="E68" s="11" t="n">
        <v>46569</v>
      </c>
      <c r="F68" s="11" t="n">
        <v>46583</v>
      </c>
      <c r="G68" s="11" t="n">
        <v>46583</v>
      </c>
      <c r="H68" s="11" t="n">
        <v>46588</v>
      </c>
      <c r="I68" s="11" t="n">
        <v>46609</v>
      </c>
      <c r="J68" s="5" t="inlineStr">
        <is>
          <t>OPEN</t>
        </is>
      </c>
    </row>
    <row r="69">
      <c r="A69" s="2" t="inlineStr">
        <is>
          <t>FY2027-P07B</t>
        </is>
      </c>
      <c r="B69" s="10" t="n">
        <v>2027</v>
      </c>
      <c r="C69" s="10" t="n">
        <v>7</v>
      </c>
      <c r="D69" s="5" t="inlineStr">
        <is>
          <t>B</t>
        </is>
      </c>
      <c r="E69" s="11" t="n">
        <v>46584</v>
      </c>
      <c r="F69" s="11" t="n">
        <v>46599</v>
      </c>
      <c r="G69" s="11" t="n">
        <v>46599</v>
      </c>
      <c r="H69" s="11" t="n">
        <v>46604</v>
      </c>
      <c r="I69" s="11" t="n">
        <v>46609</v>
      </c>
      <c r="J69" s="5" t="inlineStr">
        <is>
          <t>OPEN</t>
        </is>
      </c>
    </row>
    <row r="70">
      <c r="A70" s="2" t="inlineStr">
        <is>
          <t>FY2027-P08A</t>
        </is>
      </c>
      <c r="B70" s="10" t="n">
        <v>2027</v>
      </c>
      <c r="C70" s="10" t="n">
        <v>8</v>
      </c>
      <c r="D70" s="5" t="inlineStr">
        <is>
          <t>A</t>
        </is>
      </c>
      <c r="E70" s="11" t="n">
        <v>46600</v>
      </c>
      <c r="F70" s="11" t="n">
        <v>46614</v>
      </c>
      <c r="G70" s="11" t="n">
        <v>46614</v>
      </c>
      <c r="H70" s="11" t="n">
        <v>46619</v>
      </c>
      <c r="I70" s="11" t="n">
        <v>46640</v>
      </c>
      <c r="J70" s="5" t="inlineStr">
        <is>
          <t>OPEN</t>
        </is>
      </c>
    </row>
    <row r="71">
      <c r="A71" s="2" t="inlineStr">
        <is>
          <t>FY2027-P08B</t>
        </is>
      </c>
      <c r="B71" s="10" t="n">
        <v>2027</v>
      </c>
      <c r="C71" s="10" t="n">
        <v>8</v>
      </c>
      <c r="D71" s="5" t="inlineStr">
        <is>
          <t>B</t>
        </is>
      </c>
      <c r="E71" s="11" t="n">
        <v>46615</v>
      </c>
      <c r="F71" s="11" t="n">
        <v>46630</v>
      </c>
      <c r="G71" s="11" t="n">
        <v>46630</v>
      </c>
      <c r="H71" s="11" t="n">
        <v>46635</v>
      </c>
      <c r="I71" s="11" t="n">
        <v>46640</v>
      </c>
      <c r="J71" s="5" t="inlineStr">
        <is>
          <t>OPEN</t>
        </is>
      </c>
    </row>
    <row r="72">
      <c r="A72" s="2" t="inlineStr">
        <is>
          <t>FY2027-P09A</t>
        </is>
      </c>
      <c r="B72" s="10" t="n">
        <v>2027</v>
      </c>
      <c r="C72" s="10" t="n">
        <v>9</v>
      </c>
      <c r="D72" s="5" t="inlineStr">
        <is>
          <t>A</t>
        </is>
      </c>
      <c r="E72" s="11" t="n">
        <v>46631</v>
      </c>
      <c r="F72" s="11" t="n">
        <v>46645</v>
      </c>
      <c r="G72" s="11" t="n">
        <v>46645</v>
      </c>
      <c r="H72" s="11" t="n">
        <v>46650</v>
      </c>
      <c r="I72" s="11" t="n">
        <v>46670</v>
      </c>
      <c r="J72" s="5" t="inlineStr">
        <is>
          <t>OPEN</t>
        </is>
      </c>
    </row>
    <row r="73">
      <c r="A73" s="2" t="inlineStr">
        <is>
          <t>FY2027-P09B</t>
        </is>
      </c>
      <c r="B73" s="10" t="n">
        <v>2027</v>
      </c>
      <c r="C73" s="10" t="n">
        <v>9</v>
      </c>
      <c r="D73" s="5" t="inlineStr">
        <is>
          <t>B</t>
        </is>
      </c>
      <c r="E73" s="11" t="n">
        <v>46646</v>
      </c>
      <c r="F73" s="11" t="n">
        <v>46660</v>
      </c>
      <c r="G73" s="11" t="n">
        <v>46660</v>
      </c>
      <c r="H73" s="11" t="n">
        <v>46665</v>
      </c>
      <c r="I73" s="11" t="n">
        <v>46670</v>
      </c>
      <c r="J73" s="5" t="inlineStr">
        <is>
          <t>OPEN</t>
        </is>
      </c>
    </row>
    <row r="74">
      <c r="A74" s="2" t="inlineStr">
        <is>
          <t>FY2028-P10A</t>
        </is>
      </c>
      <c r="B74" s="10" t="n">
        <v>2028</v>
      </c>
      <c r="C74" s="10" t="n">
        <v>10</v>
      </c>
      <c r="D74" s="5" t="inlineStr">
        <is>
          <t>A</t>
        </is>
      </c>
      <c r="E74" s="11" t="n">
        <v>46661</v>
      </c>
      <c r="F74" s="11" t="n">
        <v>46675</v>
      </c>
      <c r="G74" s="11" t="n">
        <v>46675</v>
      </c>
      <c r="H74" s="11" t="n">
        <v>46680</v>
      </c>
      <c r="I74" s="11" t="n">
        <v>46701</v>
      </c>
      <c r="J74" s="5" t="inlineStr">
        <is>
          <t>OPEN</t>
        </is>
      </c>
    </row>
    <row r="75">
      <c r="A75" s="2" t="inlineStr">
        <is>
          <t>FY2028-P10B</t>
        </is>
      </c>
      <c r="B75" s="10" t="n">
        <v>2028</v>
      </c>
      <c r="C75" s="10" t="n">
        <v>10</v>
      </c>
      <c r="D75" s="5" t="inlineStr">
        <is>
          <t>B</t>
        </is>
      </c>
      <c r="E75" s="11" t="n">
        <v>46676</v>
      </c>
      <c r="F75" s="11" t="n">
        <v>46691</v>
      </c>
      <c r="G75" s="11" t="n">
        <v>46691</v>
      </c>
      <c r="H75" s="11" t="n">
        <v>46696</v>
      </c>
      <c r="I75" s="11" t="n">
        <v>46701</v>
      </c>
      <c r="J75" s="5" t="inlineStr">
        <is>
          <t>OPEN</t>
        </is>
      </c>
    </row>
    <row r="76">
      <c r="A76" s="2" t="inlineStr">
        <is>
          <t>FY2028-P11A</t>
        </is>
      </c>
      <c r="B76" s="10" t="n">
        <v>2028</v>
      </c>
      <c r="C76" s="10" t="n">
        <v>11</v>
      </c>
      <c r="D76" s="5" t="inlineStr">
        <is>
          <t>A</t>
        </is>
      </c>
      <c r="E76" s="11" t="n">
        <v>46692</v>
      </c>
      <c r="F76" s="11" t="n">
        <v>46706</v>
      </c>
      <c r="G76" s="11" t="n">
        <v>46706</v>
      </c>
      <c r="H76" s="11" t="n">
        <v>46711</v>
      </c>
      <c r="I76" s="11" t="n">
        <v>46731</v>
      </c>
      <c r="J76" s="5" t="inlineStr">
        <is>
          <t>OPEN</t>
        </is>
      </c>
    </row>
    <row r="77">
      <c r="A77" s="2" t="inlineStr">
        <is>
          <t>FY2028-P11B</t>
        </is>
      </c>
      <c r="B77" s="10" t="n">
        <v>2028</v>
      </c>
      <c r="C77" s="10" t="n">
        <v>11</v>
      </c>
      <c r="D77" s="5" t="inlineStr">
        <is>
          <t>B</t>
        </is>
      </c>
      <c r="E77" s="11" t="n">
        <v>46707</v>
      </c>
      <c r="F77" s="11" t="n">
        <v>46721</v>
      </c>
      <c r="G77" s="11" t="n">
        <v>46721</v>
      </c>
      <c r="H77" s="11" t="n">
        <v>46726</v>
      </c>
      <c r="I77" s="11" t="n">
        <v>46731</v>
      </c>
      <c r="J77" s="5" t="inlineStr">
        <is>
          <t>OPEN</t>
        </is>
      </c>
    </row>
    <row r="78">
      <c r="A78" s="2" t="inlineStr">
        <is>
          <t>FY2028-P12A</t>
        </is>
      </c>
      <c r="B78" s="10" t="n">
        <v>2028</v>
      </c>
      <c r="C78" s="10" t="n">
        <v>12</v>
      </c>
      <c r="D78" s="5" t="inlineStr">
        <is>
          <t>A</t>
        </is>
      </c>
      <c r="E78" s="11" t="n">
        <v>46722</v>
      </c>
      <c r="F78" s="11" t="n">
        <v>46736</v>
      </c>
      <c r="G78" s="11" t="n">
        <v>46736</v>
      </c>
      <c r="H78" s="11" t="n">
        <v>46741</v>
      </c>
      <c r="I78" s="11" t="n">
        <v>46762</v>
      </c>
      <c r="J78" s="5" t="inlineStr">
        <is>
          <t>OPEN</t>
        </is>
      </c>
    </row>
    <row r="79">
      <c r="A79" s="2" t="inlineStr">
        <is>
          <t>FY2028-P12B</t>
        </is>
      </c>
      <c r="B79" s="10" t="n">
        <v>2028</v>
      </c>
      <c r="C79" s="10" t="n">
        <v>12</v>
      </c>
      <c r="D79" s="5" t="inlineStr">
        <is>
          <t>B</t>
        </is>
      </c>
      <c r="E79" s="11" t="n">
        <v>46737</v>
      </c>
      <c r="F79" s="11" t="n">
        <v>46752</v>
      </c>
      <c r="G79" s="11" t="n">
        <v>46752</v>
      </c>
      <c r="H79" s="11" t="n">
        <v>46757</v>
      </c>
      <c r="I79" s="11" t="n">
        <v>46762</v>
      </c>
      <c r="J79" s="5" t="inlineStr">
        <is>
          <t>OPEN</t>
        </is>
      </c>
    </row>
    <row r="80">
      <c r="A80" s="2" t="inlineStr">
        <is>
          <t>FY2028-P01A</t>
        </is>
      </c>
      <c r="B80" s="10" t="n">
        <v>2028</v>
      </c>
      <c r="C80" s="10" t="n">
        <v>1</v>
      </c>
      <c r="D80" s="5" t="inlineStr">
        <is>
          <t>A</t>
        </is>
      </c>
      <c r="E80" s="11" t="n">
        <v>46753</v>
      </c>
      <c r="F80" s="11" t="n">
        <v>46767</v>
      </c>
      <c r="G80" s="11" t="n">
        <v>46767</v>
      </c>
      <c r="H80" s="11" t="n">
        <v>46772</v>
      </c>
      <c r="I80" s="11" t="n">
        <v>46793</v>
      </c>
      <c r="J80" s="5" t="inlineStr">
        <is>
          <t>OPEN</t>
        </is>
      </c>
    </row>
    <row r="81">
      <c r="A81" s="2" t="inlineStr">
        <is>
          <t>FY2028-P01B</t>
        </is>
      </c>
      <c r="B81" s="10" t="n">
        <v>2028</v>
      </c>
      <c r="C81" s="10" t="n">
        <v>1</v>
      </c>
      <c r="D81" s="5" t="inlineStr">
        <is>
          <t>B</t>
        </is>
      </c>
      <c r="E81" s="11" t="n">
        <v>46768</v>
      </c>
      <c r="F81" s="11" t="n">
        <v>46783</v>
      </c>
      <c r="G81" s="11" t="n">
        <v>46783</v>
      </c>
      <c r="H81" s="11" t="n">
        <v>46788</v>
      </c>
      <c r="I81" s="11" t="n">
        <v>46793</v>
      </c>
      <c r="J81" s="5" t="inlineStr">
        <is>
          <t>OPEN</t>
        </is>
      </c>
    </row>
    <row r="82">
      <c r="A82" s="2" t="inlineStr">
        <is>
          <t>FY2028-P02A</t>
        </is>
      </c>
      <c r="B82" s="10" t="n">
        <v>2028</v>
      </c>
      <c r="C82" s="10" t="n">
        <v>2</v>
      </c>
      <c r="D82" s="5" t="inlineStr">
        <is>
          <t>A</t>
        </is>
      </c>
      <c r="E82" s="11" t="n">
        <v>46784</v>
      </c>
      <c r="F82" s="11" t="n">
        <v>46798</v>
      </c>
      <c r="G82" s="11" t="n">
        <v>46798</v>
      </c>
      <c r="H82" s="11" t="n">
        <v>46803</v>
      </c>
      <c r="I82" s="11" t="n">
        <v>46822</v>
      </c>
      <c r="J82" s="5" t="inlineStr">
        <is>
          <t>OPEN</t>
        </is>
      </c>
    </row>
    <row r="83">
      <c r="A83" s="2" t="inlineStr">
        <is>
          <t>FY2028-P02B</t>
        </is>
      </c>
      <c r="B83" s="10" t="n">
        <v>2028</v>
      </c>
      <c r="C83" s="10" t="n">
        <v>2</v>
      </c>
      <c r="D83" s="5" t="inlineStr">
        <is>
          <t>B</t>
        </is>
      </c>
      <c r="E83" s="11" t="n">
        <v>46799</v>
      </c>
      <c r="F83" s="11" t="n">
        <v>46812</v>
      </c>
      <c r="G83" s="11" t="n">
        <v>46812</v>
      </c>
      <c r="H83" s="11" t="n">
        <v>46817</v>
      </c>
      <c r="I83" s="11" t="n">
        <v>46822</v>
      </c>
      <c r="J83" s="5" t="inlineStr">
        <is>
          <t>OPEN</t>
        </is>
      </c>
    </row>
    <row r="84">
      <c r="A84" s="2" t="inlineStr">
        <is>
          <t>FY2028-P03A</t>
        </is>
      </c>
      <c r="B84" s="10" t="n">
        <v>2028</v>
      </c>
      <c r="C84" s="10" t="n">
        <v>3</v>
      </c>
      <c r="D84" s="5" t="inlineStr">
        <is>
          <t>A</t>
        </is>
      </c>
      <c r="E84" s="11" t="n">
        <v>46813</v>
      </c>
      <c r="F84" s="11" t="n">
        <v>46827</v>
      </c>
      <c r="G84" s="11" t="n">
        <v>46827</v>
      </c>
      <c r="H84" s="11" t="n">
        <v>46832</v>
      </c>
      <c r="I84" s="11" t="n">
        <v>46853</v>
      </c>
      <c r="J84" s="5" t="inlineStr">
        <is>
          <t>OPEN</t>
        </is>
      </c>
    </row>
    <row r="85">
      <c r="A85" s="2" t="inlineStr">
        <is>
          <t>FY2028-P03B</t>
        </is>
      </c>
      <c r="B85" s="10" t="n">
        <v>2028</v>
      </c>
      <c r="C85" s="10" t="n">
        <v>3</v>
      </c>
      <c r="D85" s="5" t="inlineStr">
        <is>
          <t>B</t>
        </is>
      </c>
      <c r="E85" s="11" t="n">
        <v>46828</v>
      </c>
      <c r="F85" s="11" t="n">
        <v>46843</v>
      </c>
      <c r="G85" s="11" t="n">
        <v>46843</v>
      </c>
      <c r="H85" s="11" t="n">
        <v>46848</v>
      </c>
      <c r="I85" s="11" t="n">
        <v>46853</v>
      </c>
      <c r="J85" s="5" t="inlineStr">
        <is>
          <t>OPEN</t>
        </is>
      </c>
    </row>
    <row r="86">
      <c r="A86" s="2" t="inlineStr">
        <is>
          <t>FY2028-P04A</t>
        </is>
      </c>
      <c r="B86" s="10" t="n">
        <v>2028</v>
      </c>
      <c r="C86" s="10" t="n">
        <v>4</v>
      </c>
      <c r="D86" s="5" t="inlineStr">
        <is>
          <t>A</t>
        </is>
      </c>
      <c r="E86" s="11" t="n">
        <v>46844</v>
      </c>
      <c r="F86" s="11" t="n">
        <v>46858</v>
      </c>
      <c r="G86" s="11" t="n">
        <v>46858</v>
      </c>
      <c r="H86" s="11" t="n">
        <v>46863</v>
      </c>
      <c r="I86" s="11" t="n">
        <v>46883</v>
      </c>
      <c r="J86" s="5" t="inlineStr">
        <is>
          <t>OPEN</t>
        </is>
      </c>
    </row>
    <row r="87">
      <c r="A87" s="2" t="inlineStr">
        <is>
          <t>FY2028-P04B</t>
        </is>
      </c>
      <c r="B87" s="10" t="n">
        <v>2028</v>
      </c>
      <c r="C87" s="10" t="n">
        <v>4</v>
      </c>
      <c r="D87" s="5" t="inlineStr">
        <is>
          <t>B</t>
        </is>
      </c>
      <c r="E87" s="11" t="n">
        <v>46859</v>
      </c>
      <c r="F87" s="11" t="n">
        <v>46873</v>
      </c>
      <c r="G87" s="11" t="n">
        <v>46873</v>
      </c>
      <c r="H87" s="11" t="n">
        <v>46878</v>
      </c>
      <c r="I87" s="11" t="n">
        <v>46883</v>
      </c>
      <c r="J87" s="5" t="inlineStr">
        <is>
          <t>OPEN</t>
        </is>
      </c>
    </row>
    <row r="88">
      <c r="A88" s="2" t="inlineStr">
        <is>
          <t>FY2028-P05A</t>
        </is>
      </c>
      <c r="B88" s="10" t="n">
        <v>2028</v>
      </c>
      <c r="C88" s="10" t="n">
        <v>5</v>
      </c>
      <c r="D88" s="5" t="inlineStr">
        <is>
          <t>A</t>
        </is>
      </c>
      <c r="E88" s="11" t="n">
        <v>46874</v>
      </c>
      <c r="F88" s="11" t="n">
        <v>46888</v>
      </c>
      <c r="G88" s="11" t="n">
        <v>46888</v>
      </c>
      <c r="H88" s="11" t="n">
        <v>46893</v>
      </c>
      <c r="I88" s="11" t="n">
        <v>46914</v>
      </c>
      <c r="J88" s="5" t="inlineStr">
        <is>
          <t>OPEN</t>
        </is>
      </c>
    </row>
    <row r="89">
      <c r="A89" s="2" t="inlineStr">
        <is>
          <t>FY2028-P05B</t>
        </is>
      </c>
      <c r="B89" s="10" t="n">
        <v>2028</v>
      </c>
      <c r="C89" s="10" t="n">
        <v>5</v>
      </c>
      <c r="D89" s="5" t="inlineStr">
        <is>
          <t>B</t>
        </is>
      </c>
      <c r="E89" s="11" t="n">
        <v>46889</v>
      </c>
      <c r="F89" s="11" t="n">
        <v>46904</v>
      </c>
      <c r="G89" s="11" t="n">
        <v>46904</v>
      </c>
      <c r="H89" s="11" t="n">
        <v>46909</v>
      </c>
      <c r="I89" s="11" t="n">
        <v>46914</v>
      </c>
      <c r="J89" s="5" t="inlineStr">
        <is>
          <t>OPEN</t>
        </is>
      </c>
    </row>
    <row r="90">
      <c r="A90" s="2" t="inlineStr">
        <is>
          <t>FY2028-P06A</t>
        </is>
      </c>
      <c r="B90" s="10" t="n">
        <v>2028</v>
      </c>
      <c r="C90" s="10" t="n">
        <v>6</v>
      </c>
      <c r="D90" s="5" t="inlineStr">
        <is>
          <t>A</t>
        </is>
      </c>
      <c r="E90" s="11" t="n">
        <v>46905</v>
      </c>
      <c r="F90" s="11" t="n">
        <v>46919</v>
      </c>
      <c r="G90" s="11" t="n">
        <v>46919</v>
      </c>
      <c r="H90" s="11" t="n">
        <v>46924</v>
      </c>
      <c r="I90" s="11" t="n">
        <v>46944</v>
      </c>
      <c r="J90" s="5" t="inlineStr">
        <is>
          <t>OPEN</t>
        </is>
      </c>
    </row>
    <row r="91">
      <c r="A91" s="2" t="inlineStr">
        <is>
          <t>FY2028-P06B</t>
        </is>
      </c>
      <c r="B91" s="10" t="n">
        <v>2028</v>
      </c>
      <c r="C91" s="10" t="n">
        <v>6</v>
      </c>
      <c r="D91" s="5" t="inlineStr">
        <is>
          <t>B</t>
        </is>
      </c>
      <c r="E91" s="11" t="n">
        <v>46920</v>
      </c>
      <c r="F91" s="11" t="n">
        <v>46934</v>
      </c>
      <c r="G91" s="11" t="n">
        <v>46934</v>
      </c>
      <c r="H91" s="11" t="n">
        <v>46939</v>
      </c>
      <c r="I91" s="11" t="n">
        <v>46944</v>
      </c>
      <c r="J91" s="5" t="inlineStr">
        <is>
          <t>OPEN</t>
        </is>
      </c>
    </row>
    <row r="92">
      <c r="A92" s="2" t="inlineStr">
        <is>
          <t>FY2028-P07A</t>
        </is>
      </c>
      <c r="B92" s="10" t="n">
        <v>2028</v>
      </c>
      <c r="C92" s="10" t="n">
        <v>7</v>
      </c>
      <c r="D92" s="5" t="inlineStr">
        <is>
          <t>A</t>
        </is>
      </c>
      <c r="E92" s="11" t="n">
        <v>46935</v>
      </c>
      <c r="F92" s="11" t="n">
        <v>46949</v>
      </c>
      <c r="G92" s="11" t="n">
        <v>46949</v>
      </c>
      <c r="H92" s="11" t="n">
        <v>46954</v>
      </c>
      <c r="I92" s="11" t="n">
        <v>46975</v>
      </c>
      <c r="J92" s="5" t="inlineStr">
        <is>
          <t>OPEN</t>
        </is>
      </c>
    </row>
    <row r="93">
      <c r="A93" s="2" t="inlineStr">
        <is>
          <t>FY2028-P07B</t>
        </is>
      </c>
      <c r="B93" s="10" t="n">
        <v>2028</v>
      </c>
      <c r="C93" s="10" t="n">
        <v>7</v>
      </c>
      <c r="D93" s="5" t="inlineStr">
        <is>
          <t>B</t>
        </is>
      </c>
      <c r="E93" s="11" t="n">
        <v>46950</v>
      </c>
      <c r="F93" s="11" t="n">
        <v>46965</v>
      </c>
      <c r="G93" s="11" t="n">
        <v>46965</v>
      </c>
      <c r="H93" s="11" t="n">
        <v>46970</v>
      </c>
      <c r="I93" s="11" t="n">
        <v>46975</v>
      </c>
      <c r="J93" s="5" t="inlineStr">
        <is>
          <t>OPEN</t>
        </is>
      </c>
    </row>
    <row r="94">
      <c r="A94" s="2" t="inlineStr">
        <is>
          <t>FY2028-P08A</t>
        </is>
      </c>
      <c r="B94" s="10" t="n">
        <v>2028</v>
      </c>
      <c r="C94" s="10" t="n">
        <v>8</v>
      </c>
      <c r="D94" s="5" t="inlineStr">
        <is>
          <t>A</t>
        </is>
      </c>
      <c r="E94" s="11" t="n">
        <v>46966</v>
      </c>
      <c r="F94" s="11" t="n">
        <v>46980</v>
      </c>
      <c r="G94" s="11" t="n">
        <v>46980</v>
      </c>
      <c r="H94" s="11" t="n">
        <v>46985</v>
      </c>
      <c r="I94" s="11" t="n">
        <v>47006</v>
      </c>
      <c r="J94" s="5" t="inlineStr">
        <is>
          <t>OPEN</t>
        </is>
      </c>
    </row>
    <row r="95">
      <c r="A95" s="2" t="inlineStr">
        <is>
          <t>FY2028-P08B</t>
        </is>
      </c>
      <c r="B95" s="10" t="n">
        <v>2028</v>
      </c>
      <c r="C95" s="10" t="n">
        <v>8</v>
      </c>
      <c r="D95" s="5" t="inlineStr">
        <is>
          <t>B</t>
        </is>
      </c>
      <c r="E95" s="11" t="n">
        <v>46981</v>
      </c>
      <c r="F95" s="11" t="n">
        <v>46996</v>
      </c>
      <c r="G95" s="11" t="n">
        <v>46996</v>
      </c>
      <c r="H95" s="11" t="n">
        <v>47001</v>
      </c>
      <c r="I95" s="11" t="n">
        <v>47006</v>
      </c>
      <c r="J95" s="5" t="inlineStr">
        <is>
          <t>OPEN</t>
        </is>
      </c>
    </row>
    <row r="96">
      <c r="A96" s="2" t="inlineStr">
        <is>
          <t>FY2028-P09A</t>
        </is>
      </c>
      <c r="B96" s="10" t="n">
        <v>2028</v>
      </c>
      <c r="C96" s="10" t="n">
        <v>9</v>
      </c>
      <c r="D96" s="5" t="inlineStr">
        <is>
          <t>A</t>
        </is>
      </c>
      <c r="E96" s="11" t="n">
        <v>46997</v>
      </c>
      <c r="F96" s="11" t="n">
        <v>47011</v>
      </c>
      <c r="G96" s="11" t="n">
        <v>47011</v>
      </c>
      <c r="H96" s="11" t="n">
        <v>47016</v>
      </c>
      <c r="I96" s="11" t="n">
        <v>47036</v>
      </c>
      <c r="J96" s="5" t="inlineStr">
        <is>
          <t>OPEN</t>
        </is>
      </c>
    </row>
    <row r="97">
      <c r="A97" s="2" t="inlineStr">
        <is>
          <t>FY2028-P09B</t>
        </is>
      </c>
      <c r="B97" s="10" t="n">
        <v>2028</v>
      </c>
      <c r="C97" s="10" t="n">
        <v>9</v>
      </c>
      <c r="D97" s="5" t="inlineStr">
        <is>
          <t>B</t>
        </is>
      </c>
      <c r="E97" s="11" t="n">
        <v>47012</v>
      </c>
      <c r="F97" s="11" t="n">
        <v>47026</v>
      </c>
      <c r="G97" s="11" t="n">
        <v>47026</v>
      </c>
      <c r="H97" s="11" t="n">
        <v>47031</v>
      </c>
      <c r="I97" s="11" t="n">
        <v>47036</v>
      </c>
      <c r="J97" s="5" t="inlineStr">
        <is>
          <t>OPEN</t>
        </is>
      </c>
    </row>
    <row r="99">
      <c r="A99" s="9" t="inlineStr">
        <is>
          <t>Semi-monthly periods (para 7.13 inventory on 15th &amp; last day; para 5.2.5 MMR due 10th of following month). STATUS is maintained by the build owner.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P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2" customWidth="1" min="4" max="4"/>
    <col width="9" customWidth="1" min="5" max="5"/>
    <col width="14" customWidth="1" min="6" max="6"/>
    <col width="10" customWidth="1" min="7" max="7"/>
    <col width="12" customWidth="1" min="8" max="8"/>
    <col width="12" customWidth="1" min="9" max="9"/>
    <col width="13" customWidth="1" min="10" max="10"/>
    <col width="12" customWidth="1" min="11" max="11"/>
    <col width="8" customWidth="1" min="12" max="12"/>
    <col width="12" customWidth="1" min="13" max="13"/>
    <col width="12" customWidth="1" min="14" max="14"/>
    <col width="30" customWidth="1" min="15" max="15"/>
  </cols>
  <sheetData>
    <row r="1">
      <c r="A1" s="1" t="inlineStr">
        <is>
          <t>DFAC_ID</t>
        </is>
      </c>
      <c r="B1" s="1" t="inlineStr">
        <is>
          <t>DFAC_NAME</t>
        </is>
      </c>
      <c r="C1" s="1" t="inlineStr">
        <is>
          <t>BASE_ID</t>
        </is>
      </c>
      <c r="D1" s="1" t="inlineStr">
        <is>
          <t>BASE_NAME</t>
        </is>
      </c>
      <c r="E1" s="1" t="inlineStr">
        <is>
          <t>MAJCOM</t>
        </is>
      </c>
      <c r="F1" s="1" t="inlineStr">
        <is>
          <t>FACILITY_TYPE</t>
        </is>
      </c>
      <c r="G1" s="1" t="inlineStr">
        <is>
          <t>DODAAC</t>
        </is>
      </c>
      <c r="H1" s="1" t="inlineStr">
        <is>
          <t>ALOHA_STORE</t>
        </is>
      </c>
      <c r="I1" s="1" t="inlineStr">
        <is>
          <t>CT_SITE</t>
        </is>
      </c>
      <c r="J1" s="1" t="inlineStr">
        <is>
          <t>CIR_MERCHANT</t>
        </is>
      </c>
      <c r="K1" s="1" t="inlineStr">
        <is>
          <t>STORES_ACCT</t>
        </is>
      </c>
      <c r="L1" s="1" t="inlineStr">
        <is>
          <t>ACTIVE</t>
        </is>
      </c>
      <c r="M1" s="1" t="inlineStr">
        <is>
          <t>EFF_START</t>
        </is>
      </c>
      <c r="N1" s="1" t="inlineStr">
        <is>
          <t>EFF_END</t>
        </is>
      </c>
      <c r="O1" s="1" t="inlineStr">
        <is>
          <t>NOTES</t>
        </is>
      </c>
    </row>
    <row r="2">
      <c r="A2" s="12" t="inlineStr">
        <is>
          <t>JBSA-01</t>
        </is>
      </c>
      <c r="B2" s="12" t="inlineStr">
        <is>
          <t>Gateway Inn</t>
        </is>
      </c>
      <c r="C2" s="12" t="inlineStr">
        <is>
          <t>JBSA</t>
        </is>
      </c>
      <c r="D2" s="12" t="inlineStr">
        <is>
          <t>Joint Base San Antonio</t>
        </is>
      </c>
      <c r="E2" s="12" t="inlineStr">
        <is>
          <t>AETC</t>
        </is>
      </c>
      <c r="F2" s="12" t="inlineStr">
        <is>
          <t>DFAC_LEGACY</t>
        </is>
      </c>
      <c r="G2" s="12" t="inlineStr">
        <is>
          <t>FA1234</t>
        </is>
      </c>
      <c r="H2" s="13" t="inlineStr"/>
      <c r="I2" s="13" t="inlineStr"/>
      <c r="J2" s="13" t="inlineStr"/>
      <c r="K2" s="13" t="inlineStr"/>
      <c r="L2" s="12" t="inlineStr">
        <is>
          <t>Y</t>
        </is>
      </c>
      <c r="M2" s="14" t="n">
        <v>45931</v>
      </c>
      <c r="N2" s="14" t="n"/>
      <c r="O2" s="12" t="inlineStr">
        <is>
          <t>Example row — replace with real DFACs</t>
        </is>
      </c>
      <c r="P2" s="15" t="inlineStr">
        <is>
          <t>◄ EXAMPLE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6" t="n"/>
      <c r="N3" s="16" t="n"/>
      <c r="O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6" t="n"/>
      <c r="N4" s="16" t="n"/>
      <c r="O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6" t="n"/>
      <c r="N5" s="16" t="n"/>
      <c r="O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6" t="n"/>
      <c r="N6" s="16" t="n"/>
      <c r="O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6" t="n"/>
      <c r="N7" s="16" t="n"/>
      <c r="O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6" t="n"/>
      <c r="N8" s="16" t="n"/>
      <c r="O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6" t="n"/>
      <c r="N9" s="16" t="n"/>
      <c r="O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6" t="n"/>
      <c r="N10" s="16" t="n"/>
      <c r="O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6" t="n"/>
      <c r="N11" s="16" t="n"/>
      <c r="O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6" t="n"/>
      <c r="N12" s="16" t="n"/>
      <c r="O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6" t="n"/>
      <c r="N13" s="16" t="n"/>
      <c r="O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6" t="n"/>
      <c r="N14" s="16" t="n"/>
      <c r="O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6" t="n"/>
      <c r="N15" s="16" t="n"/>
      <c r="O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6" t="n"/>
      <c r="N16" s="16" t="n"/>
      <c r="O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6" t="n"/>
      <c r="N17" s="16" t="n"/>
      <c r="O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6" t="n"/>
      <c r="N18" s="16" t="n"/>
      <c r="O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6" t="n"/>
      <c r="N19" s="16" t="n"/>
      <c r="O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6" t="n"/>
      <c r="N20" s="16" t="n"/>
      <c r="O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6" t="n"/>
      <c r="N21" s="16" t="n"/>
      <c r="O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n"/>
      <c r="N22" s="16" t="n"/>
      <c r="O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6" t="n"/>
      <c r="N23" s="16" t="n"/>
      <c r="O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6" t="n"/>
      <c r="N24" s="16" t="n"/>
      <c r="O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6" t="n"/>
      <c r="N25" s="16" t="n"/>
      <c r="O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6" t="n"/>
      <c r="N26" s="16" t="n"/>
      <c r="O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6" t="n"/>
      <c r="N27" s="16" t="n"/>
      <c r="O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6" t="n"/>
      <c r="N28" s="16" t="n"/>
      <c r="O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6" t="n"/>
      <c r="N29" s="16" t="n"/>
      <c r="O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6" t="n"/>
      <c r="N30" s="16" t="n"/>
      <c r="O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6" t="n"/>
      <c r="N31" s="16" t="n"/>
      <c r="O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6" t="n"/>
      <c r="N32" s="16" t="n"/>
      <c r="O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6" t="n"/>
      <c r="N33" s="16" t="n"/>
      <c r="O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6" t="n"/>
      <c r="N34" s="16" t="n"/>
      <c r="O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6" t="n"/>
      <c r="N35" s="16" t="n"/>
      <c r="O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6" t="n"/>
      <c r="N36" s="16" t="n"/>
      <c r="O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6" t="n"/>
      <c r="N37" s="16" t="n"/>
      <c r="O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6" t="n"/>
      <c r="N38" s="16" t="n"/>
      <c r="O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6" t="n"/>
      <c r="N39" s="16" t="n"/>
      <c r="O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n"/>
      <c r="N40" s="16" t="n"/>
      <c r="O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6" t="n"/>
      <c r="N41" s="16" t="n"/>
      <c r="O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6" t="n"/>
      <c r="N42" s="16" t="n"/>
      <c r="O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6" t="n"/>
      <c r="N43" s="16" t="n"/>
      <c r="O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n"/>
      <c r="N44" s="16" t="n"/>
      <c r="O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6" t="n"/>
      <c r="N45" s="16" t="n"/>
      <c r="O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6" t="n"/>
      <c r="N46" s="16" t="n"/>
      <c r="O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6" t="n"/>
      <c r="N47" s="16" t="n"/>
      <c r="O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6" t="n"/>
      <c r="N48" s="16" t="n"/>
      <c r="O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6" t="n"/>
      <c r="N49" s="16" t="n"/>
      <c r="O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6" t="n"/>
      <c r="N50" s="16" t="n"/>
      <c r="O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6" t="n"/>
      <c r="N51" s="16" t="n"/>
      <c r="O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6" t="n"/>
      <c r="N52" s="16" t="n"/>
      <c r="O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6" t="n"/>
      <c r="N53" s="16" t="n"/>
      <c r="O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6" t="n"/>
      <c r="N54" s="16" t="n"/>
      <c r="O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6" t="n"/>
      <c r="N55" s="16" t="n"/>
      <c r="O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6" t="n"/>
      <c r="N56" s="16" t="n"/>
      <c r="O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6" t="n"/>
      <c r="N57" s="16" t="n"/>
      <c r="O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6" t="n"/>
      <c r="N58" s="16" t="n"/>
      <c r="O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6" t="n"/>
      <c r="N59" s="16" t="n"/>
      <c r="O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6" t="n"/>
      <c r="N60" s="16" t="n"/>
      <c r="O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6" t="n"/>
      <c r="N61" s="16" t="n"/>
      <c r="O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6" t="n"/>
      <c r="N62" s="16" t="n"/>
      <c r="O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6" t="n"/>
      <c r="N63" s="16" t="n"/>
      <c r="O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6" t="n"/>
      <c r="N64" s="16" t="n"/>
      <c r="O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6" t="n"/>
      <c r="N65" s="16" t="n"/>
      <c r="O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6" t="n"/>
      <c r="N66" s="16" t="n"/>
      <c r="O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6" t="n"/>
      <c r="N67" s="16" t="n"/>
      <c r="O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6" t="n"/>
      <c r="N68" s="16" t="n"/>
      <c r="O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6" t="n"/>
      <c r="N69" s="16" t="n"/>
      <c r="O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6" t="n"/>
      <c r="N70" s="16" t="n"/>
      <c r="O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6" t="n"/>
      <c r="N71" s="16" t="n"/>
      <c r="O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6" t="n"/>
      <c r="N72" s="16" t="n"/>
      <c r="O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6" t="n"/>
      <c r="N73" s="16" t="n"/>
      <c r="O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6" t="n"/>
      <c r="N74" s="16" t="n"/>
      <c r="O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6" t="n"/>
      <c r="N75" s="16" t="n"/>
      <c r="O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6" t="n"/>
      <c r="N76" s="16" t="n"/>
      <c r="O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6" t="n"/>
      <c r="N77" s="16" t="n"/>
      <c r="O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6" t="n"/>
      <c r="N78" s="16" t="n"/>
      <c r="O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6" t="n"/>
      <c r="N79" s="16" t="n"/>
      <c r="O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6" t="n"/>
      <c r="N80" s="16" t="n"/>
      <c r="O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6" t="n"/>
      <c r="N81" s="16" t="n"/>
      <c r="O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6" t="n"/>
      <c r="N82" s="16" t="n"/>
      <c r="O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6" t="n"/>
      <c r="N83" s="16" t="n"/>
      <c r="O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6" t="n"/>
      <c r="N84" s="16" t="n"/>
      <c r="O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6" t="n"/>
      <c r="N85" s="16" t="n"/>
      <c r="O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6" t="n"/>
      <c r="N86" s="16" t="n"/>
      <c r="O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6" t="n"/>
      <c r="N87" s="16" t="n"/>
      <c r="O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6" t="n"/>
      <c r="N88" s="16" t="n"/>
      <c r="O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6" t="n"/>
      <c r="N89" s="16" t="n"/>
      <c r="O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6" t="n"/>
      <c r="N90" s="16" t="n"/>
      <c r="O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6" t="n"/>
      <c r="N91" s="16" t="n"/>
      <c r="O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6" t="n"/>
      <c r="N92" s="16" t="n"/>
      <c r="O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6" t="n"/>
      <c r="N93" s="16" t="n"/>
      <c r="O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6" t="n"/>
      <c r="N94" s="16" t="n"/>
      <c r="O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6" t="n"/>
      <c r="N95" s="16" t="n"/>
      <c r="O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6" t="n"/>
      <c r="N96" s="16" t="n"/>
      <c r="O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6" t="n"/>
      <c r="N97" s="16" t="n"/>
      <c r="O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6" t="n"/>
      <c r="N98" s="16" t="n"/>
      <c r="O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6" t="n"/>
      <c r="N99" s="16" t="n"/>
      <c r="O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6" t="n"/>
      <c r="N100" s="16" t="n"/>
      <c r="O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6" t="n"/>
      <c r="N101" s="16" t="n"/>
      <c r="O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6" t="n"/>
      <c r="N102" s="16" t="n"/>
      <c r="O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6" t="n"/>
      <c r="N103" s="16" t="n"/>
      <c r="O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6" t="n"/>
      <c r="N104" s="16" t="n"/>
      <c r="O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6" t="n"/>
      <c r="N105" s="16" t="n"/>
      <c r="O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6" t="n"/>
      <c r="N106" s="16" t="n"/>
      <c r="O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6" t="n"/>
      <c r="N107" s="16" t="n"/>
      <c r="O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6" t="n"/>
      <c r="N108" s="16" t="n"/>
      <c r="O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6" t="n"/>
      <c r="N109" s="16" t="n"/>
      <c r="O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6" t="n"/>
      <c r="N110" s="16" t="n"/>
      <c r="O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6" t="n"/>
      <c r="N111" s="16" t="n"/>
      <c r="O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6" t="n"/>
      <c r="N112" s="16" t="n"/>
      <c r="O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6" t="n"/>
      <c r="N113" s="16" t="n"/>
      <c r="O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6" t="n"/>
      <c r="N114" s="16" t="n"/>
      <c r="O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6" t="n"/>
      <c r="N115" s="16" t="n"/>
      <c r="O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6" t="n"/>
      <c r="N116" s="16" t="n"/>
      <c r="O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6" t="n"/>
      <c r="N117" s="16" t="n"/>
      <c r="O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6" t="n"/>
      <c r="N118" s="16" t="n"/>
      <c r="O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6" t="n"/>
      <c r="N119" s="16" t="n"/>
      <c r="O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6" t="n"/>
      <c r="N120" s="16" t="n"/>
      <c r="O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6" t="n"/>
      <c r="N121" s="16" t="n"/>
      <c r="O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6" t="n"/>
      <c r="N122" s="16" t="n"/>
      <c r="O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6" t="n"/>
      <c r="N123" s="16" t="n"/>
      <c r="O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6" t="n"/>
      <c r="N124" s="16" t="n"/>
      <c r="O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6" t="n"/>
      <c r="N125" s="16" t="n"/>
      <c r="O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6" t="n"/>
      <c r="N126" s="16" t="n"/>
      <c r="O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6" t="n"/>
      <c r="N127" s="16" t="n"/>
      <c r="O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6" t="n"/>
      <c r="N128" s="16" t="n"/>
      <c r="O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6" t="n"/>
      <c r="N129" s="16" t="n"/>
      <c r="O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6" t="n"/>
      <c r="N130" s="16" t="n"/>
      <c r="O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6" t="n"/>
      <c r="N131" s="16" t="n"/>
      <c r="O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6" t="n"/>
      <c r="N132" s="16" t="n"/>
      <c r="O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6" t="n"/>
      <c r="N133" s="16" t="n"/>
      <c r="O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6" t="n"/>
      <c r="N134" s="16" t="n"/>
      <c r="O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6" t="n"/>
      <c r="N135" s="16" t="n"/>
      <c r="O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6" t="n"/>
      <c r="N136" s="16" t="n"/>
      <c r="O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6" t="n"/>
      <c r="N137" s="16" t="n"/>
      <c r="O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6" t="n"/>
      <c r="N138" s="16" t="n"/>
      <c r="O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6" t="n"/>
      <c r="N139" s="16" t="n"/>
      <c r="O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6" t="n"/>
      <c r="N140" s="16" t="n"/>
      <c r="O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6" t="n"/>
      <c r="N141" s="16" t="n"/>
      <c r="O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6" t="n"/>
      <c r="N142" s="16" t="n"/>
      <c r="O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6" t="n"/>
      <c r="N143" s="16" t="n"/>
      <c r="O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6" t="n"/>
      <c r="N144" s="16" t="n"/>
      <c r="O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6" t="n"/>
      <c r="N145" s="16" t="n"/>
      <c r="O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6" t="n"/>
      <c r="N146" s="16" t="n"/>
      <c r="O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6" t="n"/>
      <c r="N147" s="16" t="n"/>
      <c r="O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6" t="n"/>
      <c r="N148" s="16" t="n"/>
      <c r="O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6" t="n"/>
      <c r="N149" s="16" t="n"/>
      <c r="O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6" t="n"/>
      <c r="N150" s="16" t="n"/>
      <c r="O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6" t="n"/>
      <c r="N151" s="16" t="n"/>
      <c r="O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6" t="n"/>
      <c r="N152" s="16" t="n"/>
      <c r="O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6" t="n"/>
      <c r="N153" s="16" t="n"/>
      <c r="O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6" t="n"/>
      <c r="N154" s="16" t="n"/>
      <c r="O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6" t="n"/>
      <c r="N155" s="16" t="n"/>
      <c r="O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6" t="n"/>
      <c r="N156" s="16" t="n"/>
      <c r="O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6" t="n"/>
      <c r="N157" s="16" t="n"/>
      <c r="O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6" t="n"/>
      <c r="N158" s="16" t="n"/>
      <c r="O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6" t="n"/>
      <c r="N159" s="16" t="n"/>
      <c r="O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6" t="n"/>
      <c r="N160" s="16" t="n"/>
      <c r="O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6" t="n"/>
      <c r="N161" s="16" t="n"/>
      <c r="O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6" t="n"/>
      <c r="N162" s="16" t="n"/>
      <c r="O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6" t="n"/>
      <c r="N163" s="16" t="n"/>
      <c r="O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6" t="n"/>
      <c r="N164" s="16" t="n"/>
      <c r="O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6" t="n"/>
      <c r="N165" s="16" t="n"/>
      <c r="O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6" t="n"/>
      <c r="N166" s="16" t="n"/>
      <c r="O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6" t="n"/>
      <c r="N167" s="16" t="n"/>
      <c r="O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6" t="n"/>
      <c r="N168" s="16" t="n"/>
      <c r="O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6" t="n"/>
      <c r="N169" s="16" t="n"/>
      <c r="O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6" t="n"/>
      <c r="N170" s="16" t="n"/>
      <c r="O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6" t="n"/>
      <c r="N171" s="16" t="n"/>
      <c r="O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6" t="n"/>
      <c r="N172" s="16" t="n"/>
      <c r="O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6" t="n"/>
      <c r="N173" s="16" t="n"/>
      <c r="O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6" t="n"/>
      <c r="N174" s="16" t="n"/>
      <c r="O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6" t="n"/>
      <c r="N175" s="16" t="n"/>
      <c r="O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6" t="n"/>
      <c r="N176" s="16" t="n"/>
      <c r="O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6" t="n"/>
      <c r="N177" s="16" t="n"/>
      <c r="O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6" t="n"/>
      <c r="N178" s="16" t="n"/>
      <c r="O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6" t="n"/>
      <c r="N179" s="16" t="n"/>
      <c r="O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6" t="n"/>
      <c r="N180" s="16" t="n"/>
      <c r="O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6" t="n"/>
      <c r="N181" s="16" t="n"/>
      <c r="O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6" t="n"/>
      <c r="N182" s="16" t="n"/>
      <c r="O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6" t="n"/>
      <c r="N183" s="16" t="n"/>
      <c r="O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6" t="n"/>
      <c r="N184" s="16" t="n"/>
      <c r="O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6" t="n"/>
      <c r="N185" s="16" t="n"/>
      <c r="O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6" t="n"/>
      <c r="N186" s="16" t="n"/>
      <c r="O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6" t="n"/>
      <c r="N187" s="16" t="n"/>
      <c r="O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6" t="n"/>
      <c r="N188" s="16" t="n"/>
      <c r="O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6" t="n"/>
      <c r="N189" s="16" t="n"/>
      <c r="O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6" t="n"/>
      <c r="N190" s="16" t="n"/>
      <c r="O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6" t="n"/>
      <c r="N191" s="16" t="n"/>
      <c r="O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6" t="n"/>
      <c r="N192" s="16" t="n"/>
      <c r="O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6" t="n"/>
      <c r="N193" s="16" t="n"/>
      <c r="O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6" t="n"/>
      <c r="N194" s="16" t="n"/>
      <c r="O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6" t="n"/>
      <c r="N195" s="16" t="n"/>
      <c r="O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6" t="n"/>
      <c r="N196" s="16" t="n"/>
      <c r="O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6" t="n"/>
      <c r="N197" s="16" t="n"/>
      <c r="O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6" t="n"/>
      <c r="N198" s="16" t="n"/>
      <c r="O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6" t="n"/>
      <c r="N199" s="16" t="n"/>
      <c r="O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6" t="n"/>
      <c r="N200" s="16" t="n"/>
      <c r="O200" s="13" t="n"/>
    </row>
    <row r="202">
      <c r="A202" s="17" t="inlineStr">
        <is>
          <t>LEGEND</t>
        </is>
      </c>
    </row>
    <row r="203">
      <c r="A203" s="9" t="inlineStr">
        <is>
          <t>Yellow cells = fill these in. Placeholder columns (ALOHA_STORE, CT_SITE, CIR_MERCHANT, STORES_ACCT) await real system identifiers — leave blank until you have real exports.</t>
        </is>
      </c>
    </row>
    <row r="204">
      <c r="A204" s="9" t="inlineStr">
        <is>
          <t>DFAC_ID is the canonical key, format {BASE_ID}-{NN} (e.g. JBSA-01). Once assigned, never change one — retire via EFF_END and reissue. FACILITY_TYPE must match Ref_Tolerance exactly.</t>
        </is>
      </c>
    </row>
  </sheetData>
  <dataValidations count="3">
    <dataValidation sqref="F2:F200" showDropDown="0" showInputMessage="0" showErrorMessage="0" allowBlank="1" error="Must be a FACILITY_TYPE defined in Ref_Tolerance." prompt="Pick a facility type (drives which tolerance applies)." type="list">
      <formula1>'Ref_Tolerance'!$A$2:$A$9</formula1>
    </dataValidation>
    <dataValidation sqref="E2:E200" showDropDown="0" showInputMessage="0" showErrorMessage="0" allowBlank="1" type="list">
      <formula1>"AETC,ACC,AMC,PACAF,USAFE,AFGSC,AFMC,AFSOC,ANG,AFRC"</formula1>
    </dataValidation>
    <dataValidation sqref="L2:L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8" customWidth="1" min="4" max="4"/>
    <col width="55" customWidth="1" min="5" max="5"/>
  </cols>
  <sheetData>
    <row r="1">
      <c r="A1" s="1" t="inlineStr">
        <is>
          <t>EXC_CODE</t>
        </is>
      </c>
      <c r="B1" s="1" t="inlineStr">
        <is>
          <t>EXC_NAME</t>
        </is>
      </c>
      <c r="C1" s="1" t="inlineStr">
        <is>
          <t>CATEGORY</t>
        </is>
      </c>
      <c r="D1" s="1" t="inlineStr">
        <is>
          <t>DEFAULT_OWNER</t>
        </is>
      </c>
      <c r="E1" s="1" t="inlineStr">
        <is>
          <t>REMEDIATION</t>
        </is>
      </c>
    </row>
    <row r="2">
      <c r="A2" s="2" t="inlineStr">
        <is>
          <t>LINK_ERR</t>
        </is>
      </c>
      <c r="B2" s="4" t="inlineStr">
        <is>
          <t>Item linked incorrectly</t>
        </is>
      </c>
      <c r="C2" s="4" t="inlineStr">
        <is>
          <t>CT_VS_ALOHA</t>
        </is>
      </c>
      <c r="D2" s="4" t="inlineStr">
        <is>
          <t>AFSVC/VMF</t>
        </is>
      </c>
      <c r="E2" s="6" t="inlineStr">
        <is>
          <t>Route to VMF — bases cannot self-correct links (para 7.8.1)</t>
        </is>
      </c>
    </row>
    <row r="3">
      <c r="A3" s="2" t="inlineStr">
        <is>
          <t>PRICE_ERR</t>
        </is>
      </c>
      <c r="B3" s="4" t="inlineStr">
        <is>
          <t>Incorrect POS price</t>
        </is>
      </c>
      <c r="C3" s="4" t="inlineStr">
        <is>
          <t>CT_VS_ALOHA</t>
        </is>
      </c>
      <c r="D3" s="4" t="inlineStr">
        <is>
          <t>AFSVC/VMF</t>
        </is>
      </c>
      <c r="E3" s="6" t="inlineStr">
        <is>
          <t>Pricing centrally managed (para 3.13.1, 6.4)</t>
        </is>
      </c>
    </row>
    <row r="4">
      <c r="A4" s="2" t="inlineStr">
        <is>
          <t>VOID_ERR</t>
        </is>
      </c>
      <c r="B4" s="4" t="inlineStr">
        <is>
          <t>Void not propagated</t>
        </is>
      </c>
      <c r="C4" s="4" t="inlineStr">
        <is>
          <t>CT_VS_ALOHA</t>
        </is>
      </c>
      <c r="D4" s="4" t="inlineStr">
        <is>
          <t>Base accountant</t>
        </is>
      </c>
      <c r="E4" s="6" t="inlineStr">
        <is>
          <t>Verify POS void handling</t>
        </is>
      </c>
    </row>
    <row r="5">
      <c r="A5" s="2" t="inlineStr">
        <is>
          <t>ADJ_ERR</t>
        </is>
      </c>
      <c r="B5" s="4" t="inlineStr">
        <is>
          <t>Wrong inventory adjustment</t>
        </is>
      </c>
      <c r="C5" s="4" t="inlineStr">
        <is>
          <t>CT_VS_ALOHA</t>
        </is>
      </c>
      <c r="D5" s="4" t="inlineStr">
        <is>
          <t>Base DFAC manager</t>
        </is>
      </c>
      <c r="E5" s="6" t="inlineStr">
        <is>
          <t>Review raw/finished waste entries (para 7.10)</t>
        </is>
      </c>
    </row>
    <row r="6">
      <c r="A6" s="2" t="inlineStr">
        <is>
          <t>PURCH_VAR</t>
        </is>
      </c>
      <c r="B6" s="4" t="inlineStr">
        <is>
          <t>Purchase vs SF 1080 mismatch</t>
        </is>
      </c>
      <c r="C6" s="4" t="inlineStr">
        <is>
          <t>PURCHASES</t>
        </is>
      </c>
      <c r="D6" s="4" t="inlineStr">
        <is>
          <t>Base accountant</t>
        </is>
      </c>
      <c r="E6" s="6" t="inlineStr">
        <is>
          <t>Purchase Reconciliation Worksheet (para 7.18)</t>
        </is>
      </c>
    </row>
    <row r="7">
      <c r="A7" s="2" t="inlineStr">
        <is>
          <t>MISSING_SRC</t>
        </is>
      </c>
      <c r="B7" s="4" t="inlineStr">
        <is>
          <t>Expected source file absent</t>
        </is>
      </c>
      <c r="C7" s="4" t="inlineStr">
        <is>
          <t>INGEST</t>
        </is>
      </c>
      <c r="D7" s="4" t="inlineStr">
        <is>
          <t>Base accountant</t>
        </is>
      </c>
      <c r="E7" s="6" t="inlineStr">
        <is>
          <t>Check export/upload</t>
        </is>
      </c>
    </row>
    <row r="8">
      <c r="A8" s="2" t="inlineStr">
        <is>
          <t>PROV_NULL</t>
        </is>
      </c>
      <c r="B8" s="4" t="inlineStr">
        <is>
          <t>Provenance incomplete</t>
        </is>
      </c>
      <c r="C8" s="4" t="inlineStr">
        <is>
          <t>INTEGRITY</t>
        </is>
      </c>
      <c r="D8" s="4" t="inlineStr">
        <is>
          <t>Build owner</t>
        </is>
      </c>
      <c r="E8" s="6" t="inlineStr">
        <is>
          <t>Adapter defect — fix immediately</t>
        </is>
      </c>
    </row>
    <row r="9">
      <c r="A9" s="2" t="inlineStr">
        <is>
          <t>XWALK_UNRESOLVED</t>
        </is>
      </c>
      <c r="B9" s="4" t="inlineStr">
        <is>
          <t>DFAC_ID not in crosswalk</t>
        </is>
      </c>
      <c r="C9" s="4" t="inlineStr">
        <is>
          <t>INTEGRITY</t>
        </is>
      </c>
      <c r="D9" s="4" t="inlineStr">
        <is>
          <t>AFSVC/VMF</t>
        </is>
      </c>
      <c r="E9" s="6" t="inlineStr">
        <is>
          <t>Add to crosswalk registry</t>
        </is>
      </c>
    </row>
    <row r="10">
      <c r="A10" s="2" t="inlineStr">
        <is>
          <t>TOL_BREACH</t>
        </is>
      </c>
      <c r="B10" s="4" t="inlineStr">
        <is>
          <t>Out of tolerance</t>
        </is>
      </c>
      <c r="C10" s="4" t="inlineStr">
        <is>
          <t>COMPLIANCE</t>
        </is>
      </c>
      <c r="D10" s="4" t="inlineStr">
        <is>
          <t>FSO/FSSC</t>
        </is>
      </c>
      <c r="E10" s="6" t="inlineStr">
        <is>
          <t>See escalation ladder (para 5.13.2)</t>
        </is>
      </c>
    </row>
    <row r="12">
      <c r="A12" s="9" t="inlineStr">
        <is>
          <t>Seed taxonomy (spec §5.6). Referenced by the reconciliation layer in Stage 3; ownership routing enforced there.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2" customWidth="1" min="7" max="7"/>
    <col width="13" customWidth="1" min="8" max="8"/>
    <col width="11" customWidth="1" min="9" max="9"/>
    <col width="20" customWidth="1" min="10" max="10"/>
    <col width="40" customWidth="1" min="11" max="11"/>
  </cols>
  <sheetData>
    <row r="1">
      <c r="A1" s="1" t="inlineStr">
        <is>
          <t>QUERY_NAME</t>
        </is>
      </c>
      <c r="B1" s="1" t="inlineStr">
        <is>
          <t>LAYER</t>
        </is>
      </c>
      <c r="C1" s="1" t="inlineStr">
        <is>
          <t>SOURCE_SYSTEM</t>
        </is>
      </c>
      <c r="D1" s="1" t="inlineStr">
        <is>
          <t>INPUT_PATH</t>
        </is>
      </c>
      <c r="E1" s="1" t="inlineStr">
        <is>
          <t>OUTPUT_TABLE</t>
        </is>
      </c>
      <c r="F1" s="1" t="inlineStr">
        <is>
          <t>ADAPTER_VER</t>
        </is>
      </c>
      <c r="G1" s="1" t="inlineStr">
        <is>
          <t>OWNER</t>
        </is>
      </c>
      <c r="H1" s="1" t="inlineStr">
        <is>
          <t>LAST_CHANGED</t>
        </is>
      </c>
      <c r="I1" s="1" t="inlineStr">
        <is>
          <t>STATUS</t>
        </is>
      </c>
      <c r="J1" s="1" t="inlineStr">
        <is>
          <t>TEST_FILE</t>
        </is>
      </c>
      <c r="K1" s="1" t="inlineStr">
        <is>
          <t>NOTES</t>
        </is>
      </c>
    </row>
    <row r="2">
      <c r="A2" s="13" t="inlineStr">
        <is>
          <t>adapter_DFAS_SIK_v2</t>
        </is>
      </c>
      <c r="B2" s="13" t="inlineStr">
        <is>
          <t>ADAPTER</t>
        </is>
      </c>
      <c r="C2" s="13" t="inlineStr">
        <is>
          <t>DFAS</t>
        </is>
      </c>
      <c r="D2" s="13" t="inlineStr">
        <is>
          <t>\ingest\dfas\</t>
        </is>
      </c>
      <c r="E2" s="13" t="inlineStr">
        <is>
          <t>ledger_Transactions</t>
        </is>
      </c>
      <c r="F2" s="13" t="inlineStr">
        <is>
          <t>DFAS_v2</t>
        </is>
      </c>
      <c r="G2" s="13" t="inlineStr">
        <is>
          <t>AFSVC/VMF</t>
        </is>
      </c>
      <c r="H2" s="16" t="n">
        <v>46235</v>
      </c>
      <c r="I2" s="13" t="inlineStr">
        <is>
          <t>STUB</t>
        </is>
      </c>
      <c r="J2" s="13" t="inlineStr">
        <is>
          <t>\tests\dfas_sample.pdf</t>
        </is>
      </c>
      <c r="K2" s="13" t="inlineStr">
        <is>
          <t>Example — adapters remain stubs until real headers arrive (§14)</t>
        </is>
      </c>
      <c r="M2" s="15" t="inlineStr">
        <is>
          <t>◄ EXAMPLE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6" t="n"/>
      <c r="I3" s="13" t="n"/>
      <c r="J3" s="13" t="n"/>
      <c r="K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6" t="n"/>
      <c r="I4" s="13" t="n"/>
      <c r="J4" s="13" t="n"/>
      <c r="K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6" t="n"/>
      <c r="I5" s="13" t="n"/>
      <c r="J5" s="13" t="n"/>
      <c r="K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6" t="n"/>
      <c r="I6" s="13" t="n"/>
      <c r="J6" s="13" t="n"/>
      <c r="K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6" t="n"/>
      <c r="I7" s="13" t="n"/>
      <c r="J7" s="13" t="n"/>
      <c r="K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6" t="n"/>
      <c r="I8" s="13" t="n"/>
      <c r="J8" s="13" t="n"/>
      <c r="K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6" t="n"/>
      <c r="I9" s="13" t="n"/>
      <c r="J9" s="13" t="n"/>
      <c r="K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6" t="n"/>
      <c r="I10" s="13" t="n"/>
      <c r="J10" s="13" t="n"/>
      <c r="K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6" t="n"/>
      <c r="I11" s="13" t="n"/>
      <c r="J11" s="13" t="n"/>
      <c r="K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6" t="n"/>
      <c r="I12" s="13" t="n"/>
      <c r="J12" s="13" t="n"/>
      <c r="K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6" t="n"/>
      <c r="I13" s="13" t="n"/>
      <c r="J13" s="13" t="n"/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6" t="n"/>
      <c r="I14" s="13" t="n"/>
      <c r="J14" s="13" t="n"/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6" t="n"/>
      <c r="I15" s="13" t="n"/>
      <c r="J15" s="13" t="n"/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6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6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6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6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6" t="n"/>
      <c r="I20" s="13" t="n"/>
      <c r="J20" s="13" t="n"/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6" t="n"/>
      <c r="I21" s="13" t="n"/>
      <c r="J21" s="13" t="n"/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6" t="n"/>
      <c r="I22" s="13" t="n"/>
      <c r="J22" s="13" t="n"/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6" t="n"/>
      <c r="I23" s="13" t="n"/>
      <c r="J23" s="13" t="n"/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6" t="n"/>
      <c r="I24" s="13" t="n"/>
      <c r="J24" s="13" t="n"/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6" t="n"/>
      <c r="I25" s="13" t="n"/>
      <c r="J25" s="13" t="n"/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6" t="n"/>
      <c r="I26" s="13" t="n"/>
      <c r="J26" s="13" t="n"/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6" t="n"/>
      <c r="I27" s="13" t="n"/>
      <c r="J27" s="13" t="n"/>
      <c r="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6" t="n"/>
      <c r="I28" s="13" t="n"/>
      <c r="J28" s="13" t="n"/>
      <c r="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6" t="n"/>
      <c r="I29" s="13" t="n"/>
      <c r="J29" s="13" t="n"/>
      <c r="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6" t="n"/>
      <c r="I30" s="13" t="n"/>
      <c r="J30" s="13" t="n"/>
      <c r="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6" t="n"/>
      <c r="I31" s="13" t="n"/>
      <c r="J31" s="13" t="n"/>
      <c r="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6" t="n"/>
      <c r="I32" s="13" t="n"/>
      <c r="J32" s="13" t="n"/>
      <c r="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6" t="n"/>
      <c r="I33" s="13" t="n"/>
      <c r="J33" s="13" t="n"/>
      <c r="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6" t="n"/>
      <c r="I34" s="13" t="n"/>
      <c r="J34" s="13" t="n"/>
      <c r="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6" t="n"/>
      <c r="I35" s="13" t="n"/>
      <c r="J35" s="13" t="n"/>
      <c r="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6" t="n"/>
      <c r="I36" s="13" t="n"/>
      <c r="J36" s="13" t="n"/>
      <c r="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6" t="n"/>
      <c r="I37" s="13" t="n"/>
      <c r="J37" s="13" t="n"/>
      <c r="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6" t="n"/>
      <c r="I38" s="13" t="n"/>
      <c r="J38" s="13" t="n"/>
      <c r="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6" t="n"/>
      <c r="I39" s="13" t="n"/>
      <c r="J39" s="13" t="n"/>
      <c r="K39" s="13" t="n"/>
    </row>
    <row r="41">
      <c r="A41" s="9" t="inlineStr">
        <is>
          <t>Hand-maintained transformation graph. Register each Power Query here with a path to a known-good TEST_FILE. Adapters are Stage 2+; none are ACTIVE yet.</t>
        </is>
      </c>
    </row>
  </sheetData>
  <dataValidations count="2">
    <dataValidation sqref="B2:B39" showDropDown="0" showInputMessage="0" showErrorMessage="0" allowBlank="1" type="list">
      <formula1>"ADAPTER,LEDGER,RECON,OUTPUT"</formula1>
    </dataValidation>
    <dataValidation sqref="I2:I39" showDropDown="0" showInputMessage="0" showErrorMessage="0" allowBlank="1" type="list">
      <formula1>"ACTIVE,DEPRECATED,STUB"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40" customWidth="1" min="4" max="4"/>
    <col width="11" customWidth="1" min="5" max="5"/>
  </cols>
  <sheetData>
    <row r="1">
      <c r="A1" s="1" t="inlineStr">
        <is>
          <t>CROSSWALK_VER</t>
        </is>
      </c>
      <c r="B1" s="1" t="inlineStr">
        <is>
          <t>EFFECTIVE_DATE</t>
        </is>
      </c>
      <c r="C1" s="1" t="inlineStr">
        <is>
          <t>CHANGED_BY</t>
        </is>
      </c>
      <c r="D1" s="1" t="inlineStr">
        <is>
          <t>CHANGE_SUMMARY</t>
        </is>
      </c>
      <c r="E1" s="1" t="inlineStr">
        <is>
          <t>ROW_COUNT</t>
        </is>
      </c>
    </row>
    <row r="2">
      <c r="A2" s="13" t="inlineStr">
        <is>
          <t>CW-2026-08-01</t>
        </is>
      </c>
      <c r="B2" s="16" t="n">
        <v>46235</v>
      </c>
      <c r="C2" s="13" t="inlineStr">
        <is>
          <t>AFSVC/VMF</t>
        </is>
      </c>
      <c r="D2" s="13" t="inlineStr">
        <is>
          <t>Initial registry</t>
        </is>
      </c>
      <c r="E2" s="18" t="n">
        <v>1</v>
      </c>
      <c r="G2" s="15" t="inlineStr">
        <is>
          <t>◄ EXAMPLE</t>
        </is>
      </c>
    </row>
    <row r="3">
      <c r="A3" s="13" t="n"/>
      <c r="B3" s="16" t="n"/>
      <c r="C3" s="13" t="n"/>
      <c r="D3" s="13" t="n"/>
      <c r="E3" s="18" t="n"/>
    </row>
    <row r="4">
      <c r="A4" s="13" t="n"/>
      <c r="B4" s="16" t="n"/>
      <c r="C4" s="13" t="n"/>
      <c r="D4" s="13" t="n"/>
      <c r="E4" s="18" t="n"/>
    </row>
    <row r="5">
      <c r="A5" s="13" t="n"/>
      <c r="B5" s="16" t="n"/>
      <c r="C5" s="13" t="n"/>
      <c r="D5" s="13" t="n"/>
      <c r="E5" s="18" t="n"/>
    </row>
    <row r="6">
      <c r="A6" s="13" t="n"/>
      <c r="B6" s="16" t="n"/>
      <c r="C6" s="13" t="n"/>
      <c r="D6" s="13" t="n"/>
      <c r="E6" s="18" t="n"/>
    </row>
    <row r="7">
      <c r="A7" s="13" t="n"/>
      <c r="B7" s="16" t="n"/>
      <c r="C7" s="13" t="n"/>
      <c r="D7" s="13" t="n"/>
      <c r="E7" s="18" t="n"/>
    </row>
    <row r="8">
      <c r="A8" s="13" t="n"/>
      <c r="B8" s="16" t="n"/>
      <c r="C8" s="13" t="n"/>
      <c r="D8" s="13" t="n"/>
      <c r="E8" s="18" t="n"/>
    </row>
    <row r="9">
      <c r="A9" s="13" t="n"/>
      <c r="B9" s="16" t="n"/>
      <c r="C9" s="13" t="n"/>
      <c r="D9" s="13" t="n"/>
      <c r="E9" s="18" t="n"/>
    </row>
    <row r="10">
      <c r="A10" s="13" t="n"/>
      <c r="B10" s="16" t="n"/>
      <c r="C10" s="13" t="n"/>
      <c r="D10" s="13" t="n"/>
      <c r="E10" s="18" t="n"/>
    </row>
    <row r="11">
      <c r="A11" s="13" t="n"/>
      <c r="B11" s="16" t="n"/>
      <c r="C11" s="13" t="n"/>
      <c r="D11" s="13" t="n"/>
      <c r="E11" s="18" t="n"/>
    </row>
    <row r="12">
      <c r="A12" s="13" t="n"/>
      <c r="B12" s="16" t="n"/>
      <c r="C12" s="13" t="n"/>
      <c r="D12" s="13" t="n"/>
      <c r="E12" s="18" t="n"/>
    </row>
    <row r="13">
      <c r="A13" s="13" t="n"/>
      <c r="B13" s="16" t="n"/>
      <c r="C13" s="13" t="n"/>
      <c r="D13" s="13" t="n"/>
      <c r="E13" s="18" t="n"/>
    </row>
    <row r="14">
      <c r="A14" s="13" t="n"/>
      <c r="B14" s="16" t="n"/>
      <c r="C14" s="13" t="n"/>
      <c r="D14" s="13" t="n"/>
      <c r="E14" s="18" t="n"/>
    </row>
    <row r="15">
      <c r="A15" s="13" t="n"/>
      <c r="B15" s="16" t="n"/>
      <c r="C15" s="13" t="n"/>
      <c r="D15" s="13" t="n"/>
      <c r="E15" s="18" t="n"/>
    </row>
    <row r="16">
      <c r="A16" s="13" t="n"/>
      <c r="B16" s="16" t="n"/>
      <c r="C16" s="13" t="n"/>
      <c r="D16" s="13" t="n"/>
      <c r="E16" s="18" t="n"/>
    </row>
    <row r="17">
      <c r="A17" s="13" t="n"/>
      <c r="B17" s="16" t="n"/>
      <c r="C17" s="13" t="n"/>
      <c r="D17" s="13" t="n"/>
      <c r="E17" s="18" t="n"/>
    </row>
    <row r="18">
      <c r="A18" s="13" t="n"/>
      <c r="B18" s="16" t="n"/>
      <c r="C18" s="13" t="n"/>
      <c r="D18" s="13" t="n"/>
      <c r="E18" s="18" t="n"/>
    </row>
    <row r="19">
      <c r="A19" s="13" t="n"/>
      <c r="B19" s="16" t="n"/>
      <c r="C19" s="13" t="n"/>
      <c r="D19" s="13" t="n"/>
      <c r="E19" s="18" t="n"/>
    </row>
    <row r="20">
      <c r="A20" s="13" t="n"/>
      <c r="B20" s="16" t="n"/>
      <c r="C20" s="13" t="n"/>
      <c r="D20" s="13" t="n"/>
      <c r="E20" s="18" t="n"/>
    </row>
    <row r="21">
      <c r="A21" s="13" t="n"/>
      <c r="B21" s="16" t="n"/>
      <c r="C21" s="13" t="n"/>
      <c r="D21" s="13" t="n"/>
      <c r="E21" s="18" t="n"/>
    </row>
    <row r="22">
      <c r="A22" s="13" t="n"/>
      <c r="B22" s="16" t="n"/>
      <c r="C22" s="13" t="n"/>
      <c r="D22" s="13" t="n"/>
      <c r="E22" s="18" t="n"/>
    </row>
    <row r="23">
      <c r="A23" s="13" t="n"/>
      <c r="B23" s="16" t="n"/>
      <c r="C23" s="13" t="n"/>
      <c r="D23" s="13" t="n"/>
      <c r="E23" s="18" t="n"/>
    </row>
    <row r="24">
      <c r="A24" s="13" t="n"/>
      <c r="B24" s="16" t="n"/>
      <c r="C24" s="13" t="n"/>
      <c r="D24" s="13" t="n"/>
      <c r="E24" s="18" t="n"/>
    </row>
    <row r="25">
      <c r="A25" s="13" t="n"/>
      <c r="B25" s="16" t="n"/>
      <c r="C25" s="13" t="n"/>
      <c r="D25" s="13" t="n"/>
      <c r="E25" s="18" t="n"/>
    </row>
    <row r="26">
      <c r="A26" s="13" t="n"/>
      <c r="B26" s="16" t="n"/>
      <c r="C26" s="13" t="n"/>
      <c r="D26" s="13" t="n"/>
      <c r="E26" s="18" t="n"/>
    </row>
    <row r="27">
      <c r="A27" s="13" t="n"/>
      <c r="B27" s="16" t="n"/>
      <c r="C27" s="13" t="n"/>
      <c r="D27" s="13" t="n"/>
      <c r="E27" s="18" t="n"/>
    </row>
    <row r="28">
      <c r="A28" s="13" t="n"/>
      <c r="B28" s="16" t="n"/>
      <c r="C28" s="13" t="n"/>
      <c r="D28" s="13" t="n"/>
      <c r="E28" s="18" t="n"/>
    </row>
    <row r="29">
      <c r="A29" s="13" t="n"/>
      <c r="B29" s="16" t="n"/>
      <c r="C29" s="13" t="n"/>
      <c r="D29" s="13" t="n"/>
      <c r="E29" s="18" t="n"/>
    </row>
    <row r="31">
      <c r="A31" s="9" t="inlineStr">
        <is>
          <t>Every crosswalk change gets a new version row. Ledger rows stamp the CROSSWALK_VER that resolved them, so silent mapping drift is detectable (Stage 2+).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AB30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9" customWidth="1" min="6" max="6"/>
    <col width="9" customWidth="1" min="7" max="7"/>
    <col width="11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8" customWidth="1" min="15" max="15"/>
    <col width="8" customWidth="1" min="16" max="16"/>
    <col width="11" customWidth="1" min="17" max="17"/>
    <col width="34" customWidth="1" min="18" max="18"/>
    <col width="30" customWidth="1" min="19" max="19"/>
    <col width="22" customWidth="1" min="20" max="20"/>
    <col width="10" customWidth="1" min="21" max="21"/>
    <col width="12" customWidth="1" min="22" max="22"/>
    <col width="10" customWidth="1" min="23" max="23"/>
    <col width="10" customWidth="1" min="24" max="24"/>
    <col width="10" customWidth="1" min="25" max="25"/>
    <col width="12" customWidth="1" min="26" max="26"/>
    <col width="13" customWidth="1" min="27" max="27"/>
  </cols>
  <sheetData>
    <row r="1">
      <c r="A1" s="19" t="inlineStr">
        <is>
          <t>MISSION FEEDING — COMPLIANCE TRACKER</t>
        </is>
      </c>
    </row>
    <row r="2">
      <c r="A2" s="20" t="inlineStr">
        <is>
          <t>One row per DFAC per period. Enter the yellow input columns; everything right of NOTES is computed. Then press Data &gt; Refresh (F9).</t>
        </is>
      </c>
    </row>
    <row r="3">
      <c r="A3" s="17" t="inlineStr">
        <is>
          <t>HOW TO USE:</t>
        </is>
      </c>
    </row>
    <row r="4">
      <c r="A4" s="21" t="inlineStr">
        <is>
          <t>1) Pick DFAC_ID and PERIOD_KEY (dropdowns).  2) Enter EARNED_INCOME and GAIN_LOSS_AMT from the Monthly Monetary Record.  3) COST_OF_GOODS for Food 2.0 sites only.  4) Mark MFR/FSS_CC/INVESTIGATION as those actions occur.</t>
        </is>
      </c>
    </row>
    <row r="5">
      <c r="A5" s="21" t="inlineStr">
        <is>
          <t>Blue = you type it (yellow cells).   Black = computed, do not edit.  Red fill = act now.   Amber fill = watch.</t>
        </is>
      </c>
    </row>
    <row r="6">
      <c r="A6" s="9" t="inlineStr">
        <is>
          <t>Tolerance selection, pass/fail, streak counting and escalation are all computed. Do not hand-calculate any of it.</t>
        </is>
      </c>
    </row>
    <row r="7">
      <c r="A7" s="1" t="inlineStr">
        <is>
          <t>DFAC_ID</t>
        </is>
      </c>
      <c r="B7" s="1" t="inlineStr">
        <is>
          <t>PERIOD_KEY</t>
        </is>
      </c>
      <c r="C7" s="1" t="inlineStr">
        <is>
          <t>EARNED_INCOME</t>
        </is>
      </c>
      <c r="D7" s="1" t="inlineStr">
        <is>
          <t>GAIN_LOSS_AMT</t>
        </is>
      </c>
      <c r="E7" s="1" t="inlineStr">
        <is>
          <t>COST_OF_GOODS</t>
        </is>
      </c>
      <c r="F7" s="1" t="inlineStr">
        <is>
          <t>MFR_SUBMITTED</t>
        </is>
      </c>
      <c r="G7" s="1" t="inlineStr">
        <is>
          <t>FSS_CC_SIGNED</t>
        </is>
      </c>
      <c r="H7" s="1" t="inlineStr">
        <is>
          <t>INVESTIGATION_OPENED</t>
        </is>
      </c>
      <c r="I7" s="1" t="inlineStr">
        <is>
          <t>NOTES</t>
        </is>
      </c>
      <c r="J7" s="1" t="inlineStr">
        <is>
          <t>FACILITY_TYPE</t>
        </is>
      </c>
      <c r="K7" s="1" t="inlineStr">
        <is>
          <t>TOLERANCE_PCT</t>
        </is>
      </c>
      <c r="L7" s="1" t="inlineStr">
        <is>
          <t>METRIC_TYPE</t>
        </is>
      </c>
      <c r="M7" s="1" t="inlineStr">
        <is>
          <t>VAR_PCT</t>
        </is>
      </c>
      <c r="N7" s="1" t="inlineStr">
        <is>
          <t>COG_PCT</t>
        </is>
      </c>
      <c r="O7" s="1" t="inlineStr">
        <is>
          <t>STREAK</t>
        </is>
      </c>
      <c r="P7" s="1" t="inlineStr">
        <is>
          <t>RESULT</t>
        </is>
      </c>
      <c r="Q7" s="1" t="inlineStr">
        <is>
          <t>DAFMAN_CITE</t>
        </is>
      </c>
      <c r="R7" s="1" t="inlineStr">
        <is>
          <t>ESCALATION</t>
        </is>
      </c>
      <c r="S7" s="1" t="inlineStr">
        <is>
          <t>WATCH</t>
        </is>
      </c>
      <c r="T7" s="1" t="inlineStr">
        <is>
          <t>ACTION_OVERDUE</t>
        </is>
      </c>
      <c r="U7" s="1" t="inlineStr">
        <is>
          <t>SEQ (helper)</t>
        </is>
      </c>
      <c r="V7" s="1" t="inlineStr">
        <is>
          <t>LASTPASS (helper)</t>
        </is>
      </c>
      <c r="W7" s="1" t="inlineStr">
        <is>
          <t>MAJCOM (helper)</t>
        </is>
      </c>
      <c r="X7" s="1" t="inlineStr">
        <is>
          <t>BASE_ID (helper)</t>
        </is>
      </c>
      <c r="Y7" s="1" t="inlineStr">
        <is>
          <t>MATCHF (helper)</t>
        </is>
      </c>
      <c r="Z7" s="1" t="inlineStr">
        <is>
          <t>WATCH_RANK (helper)</t>
        </is>
      </c>
      <c r="AA7" s="1" t="inlineStr">
        <is>
          <t>OVERDUE_RANK (helper)</t>
        </is>
      </c>
    </row>
    <row r="8">
      <c r="A8" s="12" t="inlineStr">
        <is>
          <t>JBSA-01</t>
        </is>
      </c>
      <c r="B8" s="12" t="inlineStr">
        <is>
          <t>FY2026-P07A</t>
        </is>
      </c>
      <c r="C8" s="22" t="n">
        <v>100000</v>
      </c>
      <c r="D8" s="22" t="n">
        <v>2500</v>
      </c>
      <c r="E8" s="22" t="n"/>
      <c r="F8" s="12" t="inlineStr">
        <is>
          <t>Y</t>
        </is>
      </c>
      <c r="G8" s="12" t="inlineStr">
        <is>
          <t>Y</t>
        </is>
      </c>
      <c r="H8" s="12" t="inlineStr">
        <is>
          <t>N</t>
        </is>
      </c>
      <c r="I8" s="12" t="inlineStr">
        <is>
          <t>Example row — clean PASS (2.5% &lt;= 3.0%)</t>
        </is>
      </c>
      <c r="J8" s="23">
        <f>IF($A8="","",IFERROR(INDEX('Ref_Crosswalk'!$F$2:$F$500,MATCH($A8,'Ref_Crosswalk'!$A$2:$A$500,0)),"UNKNOWN"))</f>
        <v/>
      </c>
      <c r="K8" s="24">
        <f>IF($A8="","",IFERROR(INDEX('Ref_Tolerance'!$B$2:$B$9,MATCH($J8,'Ref_Tolerance'!$A$2:$A$9,0)),""))</f>
        <v/>
      </c>
      <c r="L8" s="23">
        <f>IF($A8="","",IFERROR(INDEX('Ref_Tolerance'!$D$2:$D$9,MATCH($J8,'Ref_Tolerance'!$A$2:$A$9,0)),""))</f>
        <v/>
      </c>
      <c r="M8" s="24">
        <f>IF($A8="","",IFERROR(ABS(N($D8))/N($C8),0))</f>
        <v/>
      </c>
      <c r="N8" s="24">
        <f>IF($A8="","",IFERROR(N($E8)/N($C8),0))</f>
        <v/>
      </c>
      <c r="O8" s="23">
        <f>IF($A8="",0,IFERROR(SUMPRODUCT(($A$8:$A$307=$A8)*($P$8:$P$307="FAIL")*($U$8:$U$307&gt;$V8)*($U$8:$U$307&lt;=$U8)),0))</f>
        <v/>
      </c>
      <c r="P8" s="23">
        <f>IF($A8="","",IFERROR(IF(NOT(ISNUMBER($K8)),"CHECK",IF($L8="MARGIN",IF($N8&lt;=$K8,"PASS","FAIL"),IF($M8&lt;=$K8,"PASS","FAIL"))),"CHECK"))</f>
        <v/>
      </c>
      <c r="Q8" s="23">
        <f>IF($A8="","",IFERROR(INDEX('Ref_Tolerance'!$E$2:$E$9,MATCH($J8,'Ref_Tolerance'!$A$2:$A$9,0)),""))</f>
        <v/>
      </c>
      <c r="R8" s="23">
        <f>IF($A8="","",IFERROR(IF($O8=0,"CLEAR",IF($O8=1,"MFR DUE - MANAGER",IF($O8=2,"MFR DUE - FSS/CC SIGNATURE REQUIRED","INVESTIGATION + REPORT OF SURVEY; MSG/CC NOTIFIED"))),""))</f>
        <v/>
      </c>
      <c r="S8" s="23">
        <f>IF($A8="","",IF($O8=2,"WATCH - ONE MORE MISS TRIGGERS INVESTIGATION",""))</f>
        <v/>
      </c>
      <c r="T8" s="23">
        <f>IF($A8="","",IFERROR(IF(AND($O8&gt;=1,$F8&lt;&gt;"Y"),"MFR NOT SUBMITTED",IF(AND($O8&gt;=2,$G8&lt;&gt;"Y"),"FSS/CC SIGNATURE MISSING",IF(AND($O8&gt;=3,$H8&lt;&gt;"Y"),"INVESTIGATION NOT OPENED",""))),""))</f>
        <v/>
      </c>
      <c r="U8" s="25">
        <f>IF($A8="",0,IFERROR(MATCH($B8,'Ref_Calendar'!$A$2:$A$500,0),0))</f>
        <v/>
      </c>
      <c r="V8" s="25">
        <f>IF($A8="",0,IFERROR(SUMPRODUCT(MAX(($A$8:$A$307=$A8)*($P$8:$P$307="PASS")*($U$8:$U$307&lt;=$U8)*$U$8:$U$307)),0))</f>
        <v/>
      </c>
      <c r="W8" s="25">
        <f>IF($A8="","",IFERROR(INDEX('Ref_Crosswalk'!$E$2:$E$500,MATCH($A8,'Ref_Crosswalk'!$A$2:$A$500,0)),""))</f>
        <v/>
      </c>
      <c r="X8" s="25">
        <f>IF($A8="","",IFERROR(INDEX('Ref_Crosswalk'!$C$2:$C$500,MATCH($A8,'Ref_Crosswalk'!$A$2:$A$500,0)),""))</f>
        <v/>
      </c>
      <c r="Y8" s="25">
        <f>IF($A8="",0,IF(AND(OR('Out_Dashboard'!$C$5="",$W8='Out_Dashboard'!$C$5),OR('Out_Dashboard'!$C$6="",$X8='Out_Dashboard'!$C$6),OR('Out_Dashboard'!$C$7="",$B8='Out_Dashboard'!$C$7)),1,0))</f>
        <v/>
      </c>
      <c r="Z8" s="25">
        <f>IF(AND($A8&lt;&gt;"",$S8&lt;&gt;"",$Y8=1),SUMPRODUCT(($A$8:$A8&lt;&gt;"")*($S$8:$S8&lt;&gt;"")*($Y$8:$Y8=1)),"")</f>
        <v/>
      </c>
      <c r="AA8" s="25">
        <f>IF(AND($A8&lt;&gt;"",$T8&lt;&gt;"",$Y8=1),SUMPRODUCT(($A$8:$A8&lt;&gt;"")*($T$8:$T8&lt;&gt;"")*($Y$8:$Y8=1)),"")</f>
        <v/>
      </c>
      <c r="AB8" s="15" t="inlineStr">
        <is>
          <t>◄ EXAMPLE</t>
        </is>
      </c>
    </row>
    <row r="9">
      <c r="A9" s="13" t="n"/>
      <c r="B9" s="13" t="n"/>
      <c r="C9" s="26" t="n"/>
      <c r="D9" s="26" t="n"/>
      <c r="E9" s="26" t="n"/>
      <c r="F9" s="13" t="n"/>
      <c r="G9" s="13" t="n"/>
      <c r="H9" s="13" t="n"/>
      <c r="I9" s="13" t="n"/>
      <c r="J9" s="23">
        <f>IF($A9="","",IFERROR(INDEX('Ref_Crosswalk'!$F$2:$F$500,MATCH($A9,'Ref_Crosswalk'!$A$2:$A$500,0)),"UNKNOWN"))</f>
        <v/>
      </c>
      <c r="K9" s="24">
        <f>IF($A9="","",IFERROR(INDEX('Ref_Tolerance'!$B$2:$B$9,MATCH($J9,'Ref_Tolerance'!$A$2:$A$9,0)),""))</f>
        <v/>
      </c>
      <c r="L9" s="23">
        <f>IF($A9="","",IFERROR(INDEX('Ref_Tolerance'!$D$2:$D$9,MATCH($J9,'Ref_Tolerance'!$A$2:$A$9,0)),""))</f>
        <v/>
      </c>
      <c r="M9" s="24">
        <f>IF($A9="","",IFERROR(ABS(N($D9))/N($C9),0))</f>
        <v/>
      </c>
      <c r="N9" s="24">
        <f>IF($A9="","",IFERROR(N($E9)/N($C9),0))</f>
        <v/>
      </c>
      <c r="O9" s="23">
        <f>IF($A9="",0,IFERROR(SUMPRODUCT(($A$8:$A$307=$A9)*($P$8:$P$307="FAIL")*($U$8:$U$307&gt;$V9)*($U$8:$U$307&lt;=$U9)),0))</f>
        <v/>
      </c>
      <c r="P9" s="23">
        <f>IF($A9="","",IFERROR(IF(NOT(ISNUMBER($K9)),"CHECK",IF($L9="MARGIN",IF($N9&lt;=$K9,"PASS","FAIL"),IF($M9&lt;=$K9,"PASS","FAIL"))),"CHECK"))</f>
        <v/>
      </c>
      <c r="Q9" s="23">
        <f>IF($A9="","",IFERROR(INDEX('Ref_Tolerance'!$E$2:$E$9,MATCH($J9,'Ref_Tolerance'!$A$2:$A$9,0)),""))</f>
        <v/>
      </c>
      <c r="R9" s="23">
        <f>IF($A9="","",IFERROR(IF($O9=0,"CLEAR",IF($O9=1,"MFR DUE - MANAGER",IF($O9=2,"MFR DUE - FSS/CC SIGNATURE REQUIRED","INVESTIGATION + REPORT OF SURVEY; MSG/CC NOTIFIED"))),""))</f>
        <v/>
      </c>
      <c r="S9" s="23">
        <f>IF($A9="","",IF($O9=2,"WATCH - ONE MORE MISS TRIGGERS INVESTIGATION",""))</f>
        <v/>
      </c>
      <c r="T9" s="23">
        <f>IF($A9="","",IFERROR(IF(AND($O9&gt;=1,$F9&lt;&gt;"Y"),"MFR NOT SUBMITTED",IF(AND($O9&gt;=2,$G9&lt;&gt;"Y"),"FSS/CC SIGNATURE MISSING",IF(AND($O9&gt;=3,$H9&lt;&gt;"Y"),"INVESTIGATION NOT OPENED",""))),""))</f>
        <v/>
      </c>
      <c r="U9" s="25">
        <f>IF($A9="",0,IFERROR(MATCH($B9,'Ref_Calendar'!$A$2:$A$500,0),0))</f>
        <v/>
      </c>
      <c r="V9" s="25">
        <f>IF($A9="",0,IFERROR(SUMPRODUCT(MAX(($A$8:$A$307=$A9)*($P$8:$P$307="PASS")*($U$8:$U$307&lt;=$U9)*$U$8:$U$307)),0))</f>
        <v/>
      </c>
      <c r="W9" s="25">
        <f>IF($A9="","",IFERROR(INDEX('Ref_Crosswalk'!$E$2:$E$500,MATCH($A9,'Ref_Crosswalk'!$A$2:$A$500,0)),""))</f>
        <v/>
      </c>
      <c r="X9" s="25">
        <f>IF($A9="","",IFERROR(INDEX('Ref_Crosswalk'!$C$2:$C$500,MATCH($A9,'Ref_Crosswalk'!$A$2:$A$500,0)),""))</f>
        <v/>
      </c>
      <c r="Y9" s="25">
        <f>IF($A9="",0,IF(AND(OR('Out_Dashboard'!$C$5="",$W9='Out_Dashboard'!$C$5),OR('Out_Dashboard'!$C$6="",$X9='Out_Dashboard'!$C$6),OR('Out_Dashboard'!$C$7="",$B9='Out_Dashboard'!$C$7)),1,0))</f>
        <v/>
      </c>
      <c r="Z9" s="25">
        <f>IF(AND($A9&lt;&gt;"",$S9&lt;&gt;"",$Y9=1),SUMPRODUCT(($A$8:$A9&lt;&gt;"")*($S$8:$S9&lt;&gt;"")*($Y$8:$Y9=1)),"")</f>
        <v/>
      </c>
      <c r="AA9" s="25">
        <f>IF(AND($A9&lt;&gt;"",$T9&lt;&gt;"",$Y9=1),SUMPRODUCT(($A$8:$A9&lt;&gt;"")*($T$8:$T9&lt;&gt;"")*($Y$8:$Y9=1)),"")</f>
        <v/>
      </c>
    </row>
    <row r="10">
      <c r="A10" s="13" t="n"/>
      <c r="B10" s="13" t="n"/>
      <c r="C10" s="26" t="n"/>
      <c r="D10" s="26" t="n"/>
      <c r="E10" s="26" t="n"/>
      <c r="F10" s="13" t="n"/>
      <c r="G10" s="13" t="n"/>
      <c r="H10" s="13" t="n"/>
      <c r="I10" s="13" t="n"/>
      <c r="J10" s="23">
        <f>IF($A10="","",IFERROR(INDEX('Ref_Crosswalk'!$F$2:$F$500,MATCH($A10,'Ref_Crosswalk'!$A$2:$A$500,0)),"UNKNOWN"))</f>
        <v/>
      </c>
      <c r="K10" s="24">
        <f>IF($A10="","",IFERROR(INDEX('Ref_Tolerance'!$B$2:$B$9,MATCH($J10,'Ref_Tolerance'!$A$2:$A$9,0)),""))</f>
        <v/>
      </c>
      <c r="L10" s="23">
        <f>IF($A10="","",IFERROR(INDEX('Ref_Tolerance'!$D$2:$D$9,MATCH($J10,'Ref_Tolerance'!$A$2:$A$9,0)),""))</f>
        <v/>
      </c>
      <c r="M10" s="24">
        <f>IF($A10="","",IFERROR(ABS(N($D10))/N($C10),0))</f>
        <v/>
      </c>
      <c r="N10" s="24">
        <f>IF($A10="","",IFERROR(N($E10)/N($C10),0))</f>
        <v/>
      </c>
      <c r="O10" s="23">
        <f>IF($A10="",0,IFERROR(SUMPRODUCT(($A$8:$A$307=$A10)*($P$8:$P$307="FAIL")*($U$8:$U$307&gt;$V10)*($U$8:$U$307&lt;=$U10)),0))</f>
        <v/>
      </c>
      <c r="P10" s="23">
        <f>IF($A10="","",IFERROR(IF(NOT(ISNUMBER($K10)),"CHECK",IF($L10="MARGIN",IF($N10&lt;=$K10,"PASS","FAIL"),IF($M10&lt;=$K10,"PASS","FAIL"))),"CHECK"))</f>
        <v/>
      </c>
      <c r="Q10" s="23">
        <f>IF($A10="","",IFERROR(INDEX('Ref_Tolerance'!$E$2:$E$9,MATCH($J10,'Ref_Tolerance'!$A$2:$A$9,0)),""))</f>
        <v/>
      </c>
      <c r="R10" s="23">
        <f>IF($A10="","",IFERROR(IF($O10=0,"CLEAR",IF($O10=1,"MFR DUE - MANAGER",IF($O10=2,"MFR DUE - FSS/CC SIGNATURE REQUIRED","INVESTIGATION + REPORT OF SURVEY; MSG/CC NOTIFIED"))),""))</f>
        <v/>
      </c>
      <c r="S10" s="23">
        <f>IF($A10="","",IF($O10=2,"WATCH - ONE MORE MISS TRIGGERS INVESTIGATION",""))</f>
        <v/>
      </c>
      <c r="T10" s="23">
        <f>IF($A10="","",IFERROR(IF(AND($O10&gt;=1,$F10&lt;&gt;"Y"),"MFR NOT SUBMITTED",IF(AND($O10&gt;=2,$G10&lt;&gt;"Y"),"FSS/CC SIGNATURE MISSING",IF(AND($O10&gt;=3,$H10&lt;&gt;"Y"),"INVESTIGATION NOT OPENED",""))),""))</f>
        <v/>
      </c>
      <c r="U10" s="25">
        <f>IF($A10="",0,IFERROR(MATCH($B10,'Ref_Calendar'!$A$2:$A$500,0),0))</f>
        <v/>
      </c>
      <c r="V10" s="25">
        <f>IF($A10="",0,IFERROR(SUMPRODUCT(MAX(($A$8:$A$307=$A10)*($P$8:$P$307="PASS")*($U$8:$U$307&lt;=$U10)*$U$8:$U$307)),0))</f>
        <v/>
      </c>
      <c r="W10" s="25">
        <f>IF($A10="","",IFERROR(INDEX('Ref_Crosswalk'!$E$2:$E$500,MATCH($A10,'Ref_Crosswalk'!$A$2:$A$500,0)),""))</f>
        <v/>
      </c>
      <c r="X10" s="25">
        <f>IF($A10="","",IFERROR(INDEX('Ref_Crosswalk'!$C$2:$C$500,MATCH($A10,'Ref_Crosswalk'!$A$2:$A$500,0)),""))</f>
        <v/>
      </c>
      <c r="Y10" s="25">
        <f>IF($A10="",0,IF(AND(OR('Out_Dashboard'!$C$5="",$W10='Out_Dashboard'!$C$5),OR('Out_Dashboard'!$C$6="",$X10='Out_Dashboard'!$C$6),OR('Out_Dashboard'!$C$7="",$B10='Out_Dashboard'!$C$7)),1,0))</f>
        <v/>
      </c>
      <c r="Z10" s="25">
        <f>IF(AND($A10&lt;&gt;"",$S10&lt;&gt;"",$Y10=1),SUMPRODUCT(($A$8:$A10&lt;&gt;"")*($S$8:$S10&lt;&gt;"")*($Y$8:$Y10=1)),"")</f>
        <v/>
      </c>
      <c r="AA10" s="25">
        <f>IF(AND($A10&lt;&gt;"",$T10&lt;&gt;"",$Y10=1),SUMPRODUCT(($A$8:$A10&lt;&gt;"")*($T$8:$T10&lt;&gt;"")*($Y$8:$Y10=1)),"")</f>
        <v/>
      </c>
    </row>
    <row r="11">
      <c r="A11" s="13" t="n"/>
      <c r="B11" s="13" t="n"/>
      <c r="C11" s="26" t="n"/>
      <c r="D11" s="26" t="n"/>
      <c r="E11" s="26" t="n"/>
      <c r="F11" s="13" t="n"/>
      <c r="G11" s="13" t="n"/>
      <c r="H11" s="13" t="n"/>
      <c r="I11" s="13" t="n"/>
      <c r="J11" s="23">
        <f>IF($A11="","",IFERROR(INDEX('Ref_Crosswalk'!$F$2:$F$500,MATCH($A11,'Ref_Crosswalk'!$A$2:$A$500,0)),"UNKNOWN"))</f>
        <v/>
      </c>
      <c r="K11" s="24">
        <f>IF($A11="","",IFERROR(INDEX('Ref_Tolerance'!$B$2:$B$9,MATCH($J11,'Ref_Tolerance'!$A$2:$A$9,0)),""))</f>
        <v/>
      </c>
      <c r="L11" s="23">
        <f>IF($A11="","",IFERROR(INDEX('Ref_Tolerance'!$D$2:$D$9,MATCH($J11,'Ref_Tolerance'!$A$2:$A$9,0)),""))</f>
        <v/>
      </c>
      <c r="M11" s="24">
        <f>IF($A11="","",IFERROR(ABS(N($D11))/N($C11),0))</f>
        <v/>
      </c>
      <c r="N11" s="24">
        <f>IF($A11="","",IFERROR(N($E11)/N($C11),0))</f>
        <v/>
      </c>
      <c r="O11" s="23">
        <f>IF($A11="",0,IFERROR(SUMPRODUCT(($A$8:$A$307=$A11)*($P$8:$P$307="FAIL")*($U$8:$U$307&gt;$V11)*($U$8:$U$307&lt;=$U11)),0))</f>
        <v/>
      </c>
      <c r="P11" s="23">
        <f>IF($A11="","",IFERROR(IF(NOT(ISNUMBER($K11)),"CHECK",IF($L11="MARGIN",IF($N11&lt;=$K11,"PASS","FAIL"),IF($M11&lt;=$K11,"PASS","FAIL"))),"CHECK"))</f>
        <v/>
      </c>
      <c r="Q11" s="23">
        <f>IF($A11="","",IFERROR(INDEX('Ref_Tolerance'!$E$2:$E$9,MATCH($J11,'Ref_Tolerance'!$A$2:$A$9,0)),""))</f>
        <v/>
      </c>
      <c r="R11" s="23">
        <f>IF($A11="","",IFERROR(IF($O11=0,"CLEAR",IF($O11=1,"MFR DUE - MANAGER",IF($O11=2,"MFR DUE - FSS/CC SIGNATURE REQUIRED","INVESTIGATION + REPORT OF SURVEY; MSG/CC NOTIFIED"))),""))</f>
        <v/>
      </c>
      <c r="S11" s="23">
        <f>IF($A11="","",IF($O11=2,"WATCH - ONE MORE MISS TRIGGERS INVESTIGATION",""))</f>
        <v/>
      </c>
      <c r="T11" s="23">
        <f>IF($A11="","",IFERROR(IF(AND($O11&gt;=1,$F11&lt;&gt;"Y"),"MFR NOT SUBMITTED",IF(AND($O11&gt;=2,$G11&lt;&gt;"Y"),"FSS/CC SIGNATURE MISSING",IF(AND($O11&gt;=3,$H11&lt;&gt;"Y"),"INVESTIGATION NOT OPENED",""))),""))</f>
        <v/>
      </c>
      <c r="U11" s="25">
        <f>IF($A11="",0,IFERROR(MATCH($B11,'Ref_Calendar'!$A$2:$A$500,0),0))</f>
        <v/>
      </c>
      <c r="V11" s="25">
        <f>IF($A11="",0,IFERROR(SUMPRODUCT(MAX(($A$8:$A$307=$A11)*($P$8:$P$307="PASS")*($U$8:$U$307&lt;=$U11)*$U$8:$U$307)),0))</f>
        <v/>
      </c>
      <c r="W11" s="25">
        <f>IF($A11="","",IFERROR(INDEX('Ref_Crosswalk'!$E$2:$E$500,MATCH($A11,'Ref_Crosswalk'!$A$2:$A$500,0)),""))</f>
        <v/>
      </c>
      <c r="X11" s="25">
        <f>IF($A11="","",IFERROR(INDEX('Ref_Crosswalk'!$C$2:$C$500,MATCH($A11,'Ref_Crosswalk'!$A$2:$A$500,0)),""))</f>
        <v/>
      </c>
      <c r="Y11" s="25">
        <f>IF($A11="",0,IF(AND(OR('Out_Dashboard'!$C$5="",$W11='Out_Dashboard'!$C$5),OR('Out_Dashboard'!$C$6="",$X11='Out_Dashboard'!$C$6),OR('Out_Dashboard'!$C$7="",$B11='Out_Dashboard'!$C$7)),1,0))</f>
        <v/>
      </c>
      <c r="Z11" s="25">
        <f>IF(AND($A11&lt;&gt;"",$S11&lt;&gt;"",$Y11=1),SUMPRODUCT(($A$8:$A11&lt;&gt;"")*($S$8:$S11&lt;&gt;"")*($Y$8:$Y11=1)),"")</f>
        <v/>
      </c>
      <c r="AA11" s="25">
        <f>IF(AND($A11&lt;&gt;"",$T11&lt;&gt;"",$Y11=1),SUMPRODUCT(($A$8:$A11&lt;&gt;"")*($T$8:$T11&lt;&gt;"")*($Y$8:$Y11=1)),"")</f>
        <v/>
      </c>
    </row>
    <row r="12">
      <c r="A12" s="13" t="n"/>
      <c r="B12" s="13" t="n"/>
      <c r="C12" s="26" t="n"/>
      <c r="D12" s="26" t="n"/>
      <c r="E12" s="26" t="n"/>
      <c r="F12" s="13" t="n"/>
      <c r="G12" s="13" t="n"/>
      <c r="H12" s="13" t="n"/>
      <c r="I12" s="13" t="n"/>
      <c r="J12" s="23">
        <f>IF($A12="","",IFERROR(INDEX('Ref_Crosswalk'!$F$2:$F$500,MATCH($A12,'Ref_Crosswalk'!$A$2:$A$500,0)),"UNKNOWN"))</f>
        <v/>
      </c>
      <c r="K12" s="24">
        <f>IF($A12="","",IFERROR(INDEX('Ref_Tolerance'!$B$2:$B$9,MATCH($J12,'Ref_Tolerance'!$A$2:$A$9,0)),""))</f>
        <v/>
      </c>
      <c r="L12" s="23">
        <f>IF($A12="","",IFERROR(INDEX('Ref_Tolerance'!$D$2:$D$9,MATCH($J12,'Ref_Tolerance'!$A$2:$A$9,0)),""))</f>
        <v/>
      </c>
      <c r="M12" s="24">
        <f>IF($A12="","",IFERROR(ABS(N($D12))/N($C12),0))</f>
        <v/>
      </c>
      <c r="N12" s="24">
        <f>IF($A12="","",IFERROR(N($E12)/N($C12),0))</f>
        <v/>
      </c>
      <c r="O12" s="23">
        <f>IF($A12="",0,IFERROR(SUMPRODUCT(($A$8:$A$307=$A12)*($P$8:$P$307="FAIL")*($U$8:$U$307&gt;$V12)*($U$8:$U$307&lt;=$U12)),0))</f>
        <v/>
      </c>
      <c r="P12" s="23">
        <f>IF($A12="","",IFERROR(IF(NOT(ISNUMBER($K12)),"CHECK",IF($L12="MARGIN",IF($N12&lt;=$K12,"PASS","FAIL"),IF($M12&lt;=$K12,"PASS","FAIL"))),"CHECK"))</f>
        <v/>
      </c>
      <c r="Q12" s="23">
        <f>IF($A12="","",IFERROR(INDEX('Ref_Tolerance'!$E$2:$E$9,MATCH($J12,'Ref_Tolerance'!$A$2:$A$9,0)),""))</f>
        <v/>
      </c>
      <c r="R12" s="23">
        <f>IF($A12="","",IFERROR(IF($O12=0,"CLEAR",IF($O12=1,"MFR DUE - MANAGER",IF($O12=2,"MFR DUE - FSS/CC SIGNATURE REQUIRED","INVESTIGATION + REPORT OF SURVEY; MSG/CC NOTIFIED"))),""))</f>
        <v/>
      </c>
      <c r="S12" s="23">
        <f>IF($A12="","",IF($O12=2,"WATCH - ONE MORE MISS TRIGGERS INVESTIGATION",""))</f>
        <v/>
      </c>
      <c r="T12" s="23">
        <f>IF($A12="","",IFERROR(IF(AND($O12&gt;=1,$F12&lt;&gt;"Y"),"MFR NOT SUBMITTED",IF(AND($O12&gt;=2,$G12&lt;&gt;"Y"),"FSS/CC SIGNATURE MISSING",IF(AND($O12&gt;=3,$H12&lt;&gt;"Y"),"INVESTIGATION NOT OPENED",""))),""))</f>
        <v/>
      </c>
      <c r="U12" s="25">
        <f>IF($A12="",0,IFERROR(MATCH($B12,'Ref_Calendar'!$A$2:$A$500,0),0))</f>
        <v/>
      </c>
      <c r="V12" s="25">
        <f>IF($A12="",0,IFERROR(SUMPRODUCT(MAX(($A$8:$A$307=$A12)*($P$8:$P$307="PASS")*($U$8:$U$307&lt;=$U12)*$U$8:$U$307)),0))</f>
        <v/>
      </c>
      <c r="W12" s="25">
        <f>IF($A12="","",IFERROR(INDEX('Ref_Crosswalk'!$E$2:$E$500,MATCH($A12,'Ref_Crosswalk'!$A$2:$A$500,0)),""))</f>
        <v/>
      </c>
      <c r="X12" s="25">
        <f>IF($A12="","",IFERROR(INDEX('Ref_Crosswalk'!$C$2:$C$500,MATCH($A12,'Ref_Crosswalk'!$A$2:$A$500,0)),""))</f>
        <v/>
      </c>
      <c r="Y12" s="25">
        <f>IF($A12="",0,IF(AND(OR('Out_Dashboard'!$C$5="",$W12='Out_Dashboard'!$C$5),OR('Out_Dashboard'!$C$6="",$X12='Out_Dashboard'!$C$6),OR('Out_Dashboard'!$C$7="",$B12='Out_Dashboard'!$C$7)),1,0))</f>
        <v/>
      </c>
      <c r="Z12" s="25">
        <f>IF(AND($A12&lt;&gt;"",$S12&lt;&gt;"",$Y12=1),SUMPRODUCT(($A$8:$A12&lt;&gt;"")*($S$8:$S12&lt;&gt;"")*($Y$8:$Y12=1)),"")</f>
        <v/>
      </c>
      <c r="AA12" s="25">
        <f>IF(AND($A12&lt;&gt;"",$T12&lt;&gt;"",$Y12=1),SUMPRODUCT(($A$8:$A12&lt;&gt;"")*($T$8:$T12&lt;&gt;"")*($Y$8:$Y12=1)),"")</f>
        <v/>
      </c>
    </row>
    <row r="13">
      <c r="A13" s="13" t="n"/>
      <c r="B13" s="13" t="n"/>
      <c r="C13" s="26" t="n"/>
      <c r="D13" s="26" t="n"/>
      <c r="E13" s="26" t="n"/>
      <c r="F13" s="13" t="n"/>
      <c r="G13" s="13" t="n"/>
      <c r="H13" s="13" t="n"/>
      <c r="I13" s="13" t="n"/>
      <c r="J13" s="23">
        <f>IF($A13="","",IFERROR(INDEX('Ref_Crosswalk'!$F$2:$F$500,MATCH($A13,'Ref_Crosswalk'!$A$2:$A$500,0)),"UNKNOWN"))</f>
        <v/>
      </c>
      <c r="K13" s="24">
        <f>IF($A13="","",IFERROR(INDEX('Ref_Tolerance'!$B$2:$B$9,MATCH($J13,'Ref_Tolerance'!$A$2:$A$9,0)),""))</f>
        <v/>
      </c>
      <c r="L13" s="23">
        <f>IF($A13="","",IFERROR(INDEX('Ref_Tolerance'!$D$2:$D$9,MATCH($J13,'Ref_Tolerance'!$A$2:$A$9,0)),""))</f>
        <v/>
      </c>
      <c r="M13" s="24">
        <f>IF($A13="","",IFERROR(ABS(N($D13))/N($C13),0))</f>
        <v/>
      </c>
      <c r="N13" s="24">
        <f>IF($A13="","",IFERROR(N($E13)/N($C13),0))</f>
        <v/>
      </c>
      <c r="O13" s="23">
        <f>IF($A13="",0,IFERROR(SUMPRODUCT(($A$8:$A$307=$A13)*($P$8:$P$307="FAIL")*($U$8:$U$307&gt;$V13)*($U$8:$U$307&lt;=$U13)),0))</f>
        <v/>
      </c>
      <c r="P13" s="23">
        <f>IF($A13="","",IFERROR(IF(NOT(ISNUMBER($K13)),"CHECK",IF($L13="MARGIN",IF($N13&lt;=$K13,"PASS","FAIL"),IF($M13&lt;=$K13,"PASS","FAIL"))),"CHECK"))</f>
        <v/>
      </c>
      <c r="Q13" s="23">
        <f>IF($A13="","",IFERROR(INDEX('Ref_Tolerance'!$E$2:$E$9,MATCH($J13,'Ref_Tolerance'!$A$2:$A$9,0)),""))</f>
        <v/>
      </c>
      <c r="R13" s="23">
        <f>IF($A13="","",IFERROR(IF($O13=0,"CLEAR",IF($O13=1,"MFR DUE - MANAGER",IF($O13=2,"MFR DUE - FSS/CC SIGNATURE REQUIRED","INVESTIGATION + REPORT OF SURVEY; MSG/CC NOTIFIED"))),""))</f>
        <v/>
      </c>
      <c r="S13" s="23">
        <f>IF($A13="","",IF($O13=2,"WATCH - ONE MORE MISS TRIGGERS INVESTIGATION",""))</f>
        <v/>
      </c>
      <c r="T13" s="23">
        <f>IF($A13="","",IFERROR(IF(AND($O13&gt;=1,$F13&lt;&gt;"Y"),"MFR NOT SUBMITTED",IF(AND($O13&gt;=2,$G13&lt;&gt;"Y"),"FSS/CC SIGNATURE MISSING",IF(AND($O13&gt;=3,$H13&lt;&gt;"Y"),"INVESTIGATION NOT OPENED",""))),""))</f>
        <v/>
      </c>
      <c r="U13" s="25">
        <f>IF($A13="",0,IFERROR(MATCH($B13,'Ref_Calendar'!$A$2:$A$500,0),0))</f>
        <v/>
      </c>
      <c r="V13" s="25">
        <f>IF($A13="",0,IFERROR(SUMPRODUCT(MAX(($A$8:$A$307=$A13)*($P$8:$P$307="PASS")*($U$8:$U$307&lt;=$U13)*$U$8:$U$307)),0))</f>
        <v/>
      </c>
      <c r="W13" s="25">
        <f>IF($A13="","",IFERROR(INDEX('Ref_Crosswalk'!$E$2:$E$500,MATCH($A13,'Ref_Crosswalk'!$A$2:$A$500,0)),""))</f>
        <v/>
      </c>
      <c r="X13" s="25">
        <f>IF($A13="","",IFERROR(INDEX('Ref_Crosswalk'!$C$2:$C$500,MATCH($A13,'Ref_Crosswalk'!$A$2:$A$500,0)),""))</f>
        <v/>
      </c>
      <c r="Y13" s="25">
        <f>IF($A13="",0,IF(AND(OR('Out_Dashboard'!$C$5="",$W13='Out_Dashboard'!$C$5),OR('Out_Dashboard'!$C$6="",$X13='Out_Dashboard'!$C$6),OR('Out_Dashboard'!$C$7="",$B13='Out_Dashboard'!$C$7)),1,0))</f>
        <v/>
      </c>
      <c r="Z13" s="25">
        <f>IF(AND($A13&lt;&gt;"",$S13&lt;&gt;"",$Y13=1),SUMPRODUCT(($A$8:$A13&lt;&gt;"")*($S$8:$S13&lt;&gt;"")*($Y$8:$Y13=1)),"")</f>
        <v/>
      </c>
      <c r="AA13" s="25">
        <f>IF(AND($A13&lt;&gt;"",$T13&lt;&gt;"",$Y13=1),SUMPRODUCT(($A$8:$A13&lt;&gt;"")*($T$8:$T13&lt;&gt;"")*($Y$8:$Y13=1)),"")</f>
        <v/>
      </c>
    </row>
    <row r="14">
      <c r="A14" s="13" t="n"/>
      <c r="B14" s="13" t="n"/>
      <c r="C14" s="26" t="n"/>
      <c r="D14" s="26" t="n"/>
      <c r="E14" s="26" t="n"/>
      <c r="F14" s="13" t="n"/>
      <c r="G14" s="13" t="n"/>
      <c r="H14" s="13" t="n"/>
      <c r="I14" s="13" t="n"/>
      <c r="J14" s="23">
        <f>IF($A14="","",IFERROR(INDEX('Ref_Crosswalk'!$F$2:$F$500,MATCH($A14,'Ref_Crosswalk'!$A$2:$A$500,0)),"UNKNOWN"))</f>
        <v/>
      </c>
      <c r="K14" s="24">
        <f>IF($A14="","",IFERROR(INDEX('Ref_Tolerance'!$B$2:$B$9,MATCH($J14,'Ref_Tolerance'!$A$2:$A$9,0)),""))</f>
        <v/>
      </c>
      <c r="L14" s="23">
        <f>IF($A14="","",IFERROR(INDEX('Ref_Tolerance'!$D$2:$D$9,MATCH($J14,'Ref_Tolerance'!$A$2:$A$9,0)),""))</f>
        <v/>
      </c>
      <c r="M14" s="24">
        <f>IF($A14="","",IFERROR(ABS(N($D14))/N($C14),0))</f>
        <v/>
      </c>
      <c r="N14" s="24">
        <f>IF($A14="","",IFERROR(N($E14)/N($C14),0))</f>
        <v/>
      </c>
      <c r="O14" s="23">
        <f>IF($A14="",0,IFERROR(SUMPRODUCT(($A$8:$A$307=$A14)*($P$8:$P$307="FAIL")*($U$8:$U$307&gt;$V14)*($U$8:$U$307&lt;=$U14)),0))</f>
        <v/>
      </c>
      <c r="P14" s="23">
        <f>IF($A14="","",IFERROR(IF(NOT(ISNUMBER($K14)),"CHECK",IF($L14="MARGIN",IF($N14&lt;=$K14,"PASS","FAIL"),IF($M14&lt;=$K14,"PASS","FAIL"))),"CHECK"))</f>
        <v/>
      </c>
      <c r="Q14" s="23">
        <f>IF($A14="","",IFERROR(INDEX('Ref_Tolerance'!$E$2:$E$9,MATCH($J14,'Ref_Tolerance'!$A$2:$A$9,0)),""))</f>
        <v/>
      </c>
      <c r="R14" s="23">
        <f>IF($A14="","",IFERROR(IF($O14=0,"CLEAR",IF($O14=1,"MFR DUE - MANAGER",IF($O14=2,"MFR DUE - FSS/CC SIGNATURE REQUIRED","INVESTIGATION + REPORT OF SURVEY; MSG/CC NOTIFIED"))),""))</f>
        <v/>
      </c>
      <c r="S14" s="23">
        <f>IF($A14="","",IF($O14=2,"WATCH - ONE MORE MISS TRIGGERS INVESTIGATION",""))</f>
        <v/>
      </c>
      <c r="T14" s="23">
        <f>IF($A14="","",IFERROR(IF(AND($O14&gt;=1,$F14&lt;&gt;"Y"),"MFR NOT SUBMITTED",IF(AND($O14&gt;=2,$G14&lt;&gt;"Y"),"FSS/CC SIGNATURE MISSING",IF(AND($O14&gt;=3,$H14&lt;&gt;"Y"),"INVESTIGATION NOT OPENED",""))),""))</f>
        <v/>
      </c>
      <c r="U14" s="25">
        <f>IF($A14="",0,IFERROR(MATCH($B14,'Ref_Calendar'!$A$2:$A$500,0),0))</f>
        <v/>
      </c>
      <c r="V14" s="25">
        <f>IF($A14="",0,IFERROR(SUMPRODUCT(MAX(($A$8:$A$307=$A14)*($P$8:$P$307="PASS")*($U$8:$U$307&lt;=$U14)*$U$8:$U$307)),0))</f>
        <v/>
      </c>
      <c r="W14" s="25">
        <f>IF($A14="","",IFERROR(INDEX('Ref_Crosswalk'!$E$2:$E$500,MATCH($A14,'Ref_Crosswalk'!$A$2:$A$500,0)),""))</f>
        <v/>
      </c>
      <c r="X14" s="25">
        <f>IF($A14="","",IFERROR(INDEX('Ref_Crosswalk'!$C$2:$C$500,MATCH($A14,'Ref_Crosswalk'!$A$2:$A$500,0)),""))</f>
        <v/>
      </c>
      <c r="Y14" s="25">
        <f>IF($A14="",0,IF(AND(OR('Out_Dashboard'!$C$5="",$W14='Out_Dashboard'!$C$5),OR('Out_Dashboard'!$C$6="",$X14='Out_Dashboard'!$C$6),OR('Out_Dashboard'!$C$7="",$B14='Out_Dashboard'!$C$7)),1,0))</f>
        <v/>
      </c>
      <c r="Z14" s="25">
        <f>IF(AND($A14&lt;&gt;"",$S14&lt;&gt;"",$Y14=1),SUMPRODUCT(($A$8:$A14&lt;&gt;"")*($S$8:$S14&lt;&gt;"")*($Y$8:$Y14=1)),"")</f>
        <v/>
      </c>
      <c r="AA14" s="25">
        <f>IF(AND($A14&lt;&gt;"",$T14&lt;&gt;"",$Y14=1),SUMPRODUCT(($A$8:$A14&lt;&gt;"")*($T$8:$T14&lt;&gt;"")*($Y$8:$Y14=1)),"")</f>
        <v/>
      </c>
    </row>
    <row r="15">
      <c r="A15" s="13" t="n"/>
      <c r="B15" s="13" t="n"/>
      <c r="C15" s="26" t="n"/>
      <c r="D15" s="26" t="n"/>
      <c r="E15" s="26" t="n"/>
      <c r="F15" s="13" t="n"/>
      <c r="G15" s="13" t="n"/>
      <c r="H15" s="13" t="n"/>
      <c r="I15" s="13" t="n"/>
      <c r="J15" s="23">
        <f>IF($A15="","",IFERROR(INDEX('Ref_Crosswalk'!$F$2:$F$500,MATCH($A15,'Ref_Crosswalk'!$A$2:$A$500,0)),"UNKNOWN"))</f>
        <v/>
      </c>
      <c r="K15" s="24">
        <f>IF($A15="","",IFERROR(INDEX('Ref_Tolerance'!$B$2:$B$9,MATCH($J15,'Ref_Tolerance'!$A$2:$A$9,0)),""))</f>
        <v/>
      </c>
      <c r="L15" s="23">
        <f>IF($A15="","",IFERROR(INDEX('Ref_Tolerance'!$D$2:$D$9,MATCH($J15,'Ref_Tolerance'!$A$2:$A$9,0)),""))</f>
        <v/>
      </c>
      <c r="M15" s="24">
        <f>IF($A15="","",IFERROR(ABS(N($D15))/N($C15),0))</f>
        <v/>
      </c>
      <c r="N15" s="24">
        <f>IF($A15="","",IFERROR(N($E15)/N($C15),0))</f>
        <v/>
      </c>
      <c r="O15" s="23">
        <f>IF($A15="",0,IFERROR(SUMPRODUCT(($A$8:$A$307=$A15)*($P$8:$P$307="FAIL")*($U$8:$U$307&gt;$V15)*($U$8:$U$307&lt;=$U15)),0))</f>
        <v/>
      </c>
      <c r="P15" s="23">
        <f>IF($A15="","",IFERROR(IF(NOT(ISNUMBER($K15)),"CHECK",IF($L15="MARGIN",IF($N15&lt;=$K15,"PASS","FAIL"),IF($M15&lt;=$K15,"PASS","FAIL"))),"CHECK"))</f>
        <v/>
      </c>
      <c r="Q15" s="23">
        <f>IF($A15="","",IFERROR(INDEX('Ref_Tolerance'!$E$2:$E$9,MATCH($J15,'Ref_Tolerance'!$A$2:$A$9,0)),""))</f>
        <v/>
      </c>
      <c r="R15" s="23">
        <f>IF($A15="","",IFERROR(IF($O15=0,"CLEAR",IF($O15=1,"MFR DUE - MANAGER",IF($O15=2,"MFR DUE - FSS/CC SIGNATURE REQUIRED","INVESTIGATION + REPORT OF SURVEY; MSG/CC NOTIFIED"))),""))</f>
        <v/>
      </c>
      <c r="S15" s="23">
        <f>IF($A15="","",IF($O15=2,"WATCH - ONE MORE MISS TRIGGERS INVESTIGATION",""))</f>
        <v/>
      </c>
      <c r="T15" s="23">
        <f>IF($A15="","",IFERROR(IF(AND($O15&gt;=1,$F15&lt;&gt;"Y"),"MFR NOT SUBMITTED",IF(AND($O15&gt;=2,$G15&lt;&gt;"Y"),"FSS/CC SIGNATURE MISSING",IF(AND($O15&gt;=3,$H15&lt;&gt;"Y"),"INVESTIGATION NOT OPENED",""))),""))</f>
        <v/>
      </c>
      <c r="U15" s="25">
        <f>IF($A15="",0,IFERROR(MATCH($B15,'Ref_Calendar'!$A$2:$A$500,0),0))</f>
        <v/>
      </c>
      <c r="V15" s="25">
        <f>IF($A15="",0,IFERROR(SUMPRODUCT(MAX(($A$8:$A$307=$A15)*($P$8:$P$307="PASS")*($U$8:$U$307&lt;=$U15)*$U$8:$U$307)),0))</f>
        <v/>
      </c>
      <c r="W15" s="25">
        <f>IF($A15="","",IFERROR(INDEX('Ref_Crosswalk'!$E$2:$E$500,MATCH($A15,'Ref_Crosswalk'!$A$2:$A$500,0)),""))</f>
        <v/>
      </c>
      <c r="X15" s="25">
        <f>IF($A15="","",IFERROR(INDEX('Ref_Crosswalk'!$C$2:$C$500,MATCH($A15,'Ref_Crosswalk'!$A$2:$A$500,0)),""))</f>
        <v/>
      </c>
      <c r="Y15" s="25">
        <f>IF($A15="",0,IF(AND(OR('Out_Dashboard'!$C$5="",$W15='Out_Dashboard'!$C$5),OR('Out_Dashboard'!$C$6="",$X15='Out_Dashboard'!$C$6),OR('Out_Dashboard'!$C$7="",$B15='Out_Dashboard'!$C$7)),1,0))</f>
        <v/>
      </c>
      <c r="Z15" s="25">
        <f>IF(AND($A15&lt;&gt;"",$S15&lt;&gt;"",$Y15=1),SUMPRODUCT(($A$8:$A15&lt;&gt;"")*($S$8:$S15&lt;&gt;"")*($Y$8:$Y15=1)),"")</f>
        <v/>
      </c>
      <c r="AA15" s="25">
        <f>IF(AND($A15&lt;&gt;"",$T15&lt;&gt;"",$Y15=1),SUMPRODUCT(($A$8:$A15&lt;&gt;"")*($T$8:$T15&lt;&gt;"")*($Y$8:$Y15=1)),"")</f>
        <v/>
      </c>
    </row>
    <row r="16">
      <c r="A16" s="13" t="n"/>
      <c r="B16" s="13" t="n"/>
      <c r="C16" s="26" t="n"/>
      <c r="D16" s="26" t="n"/>
      <c r="E16" s="26" t="n"/>
      <c r="F16" s="13" t="n"/>
      <c r="G16" s="13" t="n"/>
      <c r="H16" s="13" t="n"/>
      <c r="I16" s="13" t="n"/>
      <c r="J16" s="23">
        <f>IF($A16="","",IFERROR(INDEX('Ref_Crosswalk'!$F$2:$F$500,MATCH($A16,'Ref_Crosswalk'!$A$2:$A$500,0)),"UNKNOWN"))</f>
        <v/>
      </c>
      <c r="K16" s="24">
        <f>IF($A16="","",IFERROR(INDEX('Ref_Tolerance'!$B$2:$B$9,MATCH($J16,'Ref_Tolerance'!$A$2:$A$9,0)),""))</f>
        <v/>
      </c>
      <c r="L16" s="23">
        <f>IF($A16="","",IFERROR(INDEX('Ref_Tolerance'!$D$2:$D$9,MATCH($J16,'Ref_Tolerance'!$A$2:$A$9,0)),""))</f>
        <v/>
      </c>
      <c r="M16" s="24">
        <f>IF($A16="","",IFERROR(ABS(N($D16))/N($C16),0))</f>
        <v/>
      </c>
      <c r="N16" s="24">
        <f>IF($A16="","",IFERROR(N($E16)/N($C16),0))</f>
        <v/>
      </c>
      <c r="O16" s="23">
        <f>IF($A16="",0,IFERROR(SUMPRODUCT(($A$8:$A$307=$A16)*($P$8:$P$307="FAIL")*($U$8:$U$307&gt;$V16)*($U$8:$U$307&lt;=$U16)),0))</f>
        <v/>
      </c>
      <c r="P16" s="23">
        <f>IF($A16="","",IFERROR(IF(NOT(ISNUMBER($K16)),"CHECK",IF($L16="MARGIN",IF($N16&lt;=$K16,"PASS","FAIL"),IF($M16&lt;=$K16,"PASS","FAIL"))),"CHECK"))</f>
        <v/>
      </c>
      <c r="Q16" s="23">
        <f>IF($A16="","",IFERROR(INDEX('Ref_Tolerance'!$E$2:$E$9,MATCH($J16,'Ref_Tolerance'!$A$2:$A$9,0)),""))</f>
        <v/>
      </c>
      <c r="R16" s="23">
        <f>IF($A16="","",IFERROR(IF($O16=0,"CLEAR",IF($O16=1,"MFR DUE - MANAGER",IF($O16=2,"MFR DUE - FSS/CC SIGNATURE REQUIRED","INVESTIGATION + REPORT OF SURVEY; MSG/CC NOTIFIED"))),""))</f>
        <v/>
      </c>
      <c r="S16" s="23">
        <f>IF($A16="","",IF($O16=2,"WATCH - ONE MORE MISS TRIGGERS INVESTIGATION",""))</f>
        <v/>
      </c>
      <c r="T16" s="23">
        <f>IF($A16="","",IFERROR(IF(AND($O16&gt;=1,$F16&lt;&gt;"Y"),"MFR NOT SUBMITTED",IF(AND($O16&gt;=2,$G16&lt;&gt;"Y"),"FSS/CC SIGNATURE MISSING",IF(AND($O16&gt;=3,$H16&lt;&gt;"Y"),"INVESTIGATION NOT OPENED",""))),""))</f>
        <v/>
      </c>
      <c r="U16" s="25">
        <f>IF($A16="",0,IFERROR(MATCH($B16,'Ref_Calendar'!$A$2:$A$500,0),0))</f>
        <v/>
      </c>
      <c r="V16" s="25">
        <f>IF($A16="",0,IFERROR(SUMPRODUCT(MAX(($A$8:$A$307=$A16)*($P$8:$P$307="PASS")*($U$8:$U$307&lt;=$U16)*$U$8:$U$307)),0))</f>
        <v/>
      </c>
      <c r="W16" s="25">
        <f>IF($A16="","",IFERROR(INDEX('Ref_Crosswalk'!$E$2:$E$500,MATCH($A16,'Ref_Crosswalk'!$A$2:$A$500,0)),""))</f>
        <v/>
      </c>
      <c r="X16" s="25">
        <f>IF($A16="","",IFERROR(INDEX('Ref_Crosswalk'!$C$2:$C$500,MATCH($A16,'Ref_Crosswalk'!$A$2:$A$500,0)),""))</f>
        <v/>
      </c>
      <c r="Y16" s="25">
        <f>IF($A16="",0,IF(AND(OR('Out_Dashboard'!$C$5="",$W16='Out_Dashboard'!$C$5),OR('Out_Dashboard'!$C$6="",$X16='Out_Dashboard'!$C$6),OR('Out_Dashboard'!$C$7="",$B16='Out_Dashboard'!$C$7)),1,0))</f>
        <v/>
      </c>
      <c r="Z16" s="25">
        <f>IF(AND($A16&lt;&gt;"",$S16&lt;&gt;"",$Y16=1),SUMPRODUCT(($A$8:$A16&lt;&gt;"")*($S$8:$S16&lt;&gt;"")*($Y$8:$Y16=1)),"")</f>
        <v/>
      </c>
      <c r="AA16" s="25">
        <f>IF(AND($A16&lt;&gt;"",$T16&lt;&gt;"",$Y16=1),SUMPRODUCT(($A$8:$A16&lt;&gt;"")*($T$8:$T16&lt;&gt;"")*($Y$8:$Y16=1)),"")</f>
        <v/>
      </c>
    </row>
    <row r="17">
      <c r="A17" s="13" t="n"/>
      <c r="B17" s="13" t="n"/>
      <c r="C17" s="26" t="n"/>
      <c r="D17" s="26" t="n"/>
      <c r="E17" s="26" t="n"/>
      <c r="F17" s="13" t="n"/>
      <c r="G17" s="13" t="n"/>
      <c r="H17" s="13" t="n"/>
      <c r="I17" s="13" t="n"/>
      <c r="J17" s="23">
        <f>IF($A17="","",IFERROR(INDEX('Ref_Crosswalk'!$F$2:$F$500,MATCH($A17,'Ref_Crosswalk'!$A$2:$A$500,0)),"UNKNOWN"))</f>
        <v/>
      </c>
      <c r="K17" s="24">
        <f>IF($A17="","",IFERROR(INDEX('Ref_Tolerance'!$B$2:$B$9,MATCH($J17,'Ref_Tolerance'!$A$2:$A$9,0)),""))</f>
        <v/>
      </c>
      <c r="L17" s="23">
        <f>IF($A17="","",IFERROR(INDEX('Ref_Tolerance'!$D$2:$D$9,MATCH($J17,'Ref_Tolerance'!$A$2:$A$9,0)),""))</f>
        <v/>
      </c>
      <c r="M17" s="24">
        <f>IF($A17="","",IFERROR(ABS(N($D17))/N($C17),0))</f>
        <v/>
      </c>
      <c r="N17" s="24">
        <f>IF($A17="","",IFERROR(N($E17)/N($C17),0))</f>
        <v/>
      </c>
      <c r="O17" s="23">
        <f>IF($A17="",0,IFERROR(SUMPRODUCT(($A$8:$A$307=$A17)*($P$8:$P$307="FAIL")*($U$8:$U$307&gt;$V17)*($U$8:$U$307&lt;=$U17)),0))</f>
        <v/>
      </c>
      <c r="P17" s="23">
        <f>IF($A17="","",IFERROR(IF(NOT(ISNUMBER($K17)),"CHECK",IF($L17="MARGIN",IF($N17&lt;=$K17,"PASS","FAIL"),IF($M17&lt;=$K17,"PASS","FAIL"))),"CHECK"))</f>
        <v/>
      </c>
      <c r="Q17" s="23">
        <f>IF($A17="","",IFERROR(INDEX('Ref_Tolerance'!$E$2:$E$9,MATCH($J17,'Ref_Tolerance'!$A$2:$A$9,0)),""))</f>
        <v/>
      </c>
      <c r="R17" s="23">
        <f>IF($A17="","",IFERROR(IF($O17=0,"CLEAR",IF($O17=1,"MFR DUE - MANAGER",IF($O17=2,"MFR DUE - FSS/CC SIGNATURE REQUIRED","INVESTIGATION + REPORT OF SURVEY; MSG/CC NOTIFIED"))),""))</f>
        <v/>
      </c>
      <c r="S17" s="23">
        <f>IF($A17="","",IF($O17=2,"WATCH - ONE MORE MISS TRIGGERS INVESTIGATION",""))</f>
        <v/>
      </c>
      <c r="T17" s="23">
        <f>IF($A17="","",IFERROR(IF(AND($O17&gt;=1,$F17&lt;&gt;"Y"),"MFR NOT SUBMITTED",IF(AND($O17&gt;=2,$G17&lt;&gt;"Y"),"FSS/CC SIGNATURE MISSING",IF(AND($O17&gt;=3,$H17&lt;&gt;"Y"),"INVESTIGATION NOT OPENED",""))),""))</f>
        <v/>
      </c>
      <c r="U17" s="25">
        <f>IF($A17="",0,IFERROR(MATCH($B17,'Ref_Calendar'!$A$2:$A$500,0),0))</f>
        <v/>
      </c>
      <c r="V17" s="25">
        <f>IF($A17="",0,IFERROR(SUMPRODUCT(MAX(($A$8:$A$307=$A17)*($P$8:$P$307="PASS")*($U$8:$U$307&lt;=$U17)*$U$8:$U$307)),0))</f>
        <v/>
      </c>
      <c r="W17" s="25">
        <f>IF($A17="","",IFERROR(INDEX('Ref_Crosswalk'!$E$2:$E$500,MATCH($A17,'Ref_Crosswalk'!$A$2:$A$500,0)),""))</f>
        <v/>
      </c>
      <c r="X17" s="25">
        <f>IF($A17="","",IFERROR(INDEX('Ref_Crosswalk'!$C$2:$C$500,MATCH($A17,'Ref_Crosswalk'!$A$2:$A$500,0)),""))</f>
        <v/>
      </c>
      <c r="Y17" s="25">
        <f>IF($A17="",0,IF(AND(OR('Out_Dashboard'!$C$5="",$W17='Out_Dashboard'!$C$5),OR('Out_Dashboard'!$C$6="",$X17='Out_Dashboard'!$C$6),OR('Out_Dashboard'!$C$7="",$B17='Out_Dashboard'!$C$7)),1,0))</f>
        <v/>
      </c>
      <c r="Z17" s="25">
        <f>IF(AND($A17&lt;&gt;"",$S17&lt;&gt;"",$Y17=1),SUMPRODUCT(($A$8:$A17&lt;&gt;"")*($S$8:$S17&lt;&gt;"")*($Y$8:$Y17=1)),"")</f>
        <v/>
      </c>
      <c r="AA17" s="25">
        <f>IF(AND($A17&lt;&gt;"",$T17&lt;&gt;"",$Y17=1),SUMPRODUCT(($A$8:$A17&lt;&gt;"")*($T$8:$T17&lt;&gt;"")*($Y$8:$Y17=1)),"")</f>
        <v/>
      </c>
    </row>
    <row r="18">
      <c r="A18" s="13" t="n"/>
      <c r="B18" s="13" t="n"/>
      <c r="C18" s="26" t="n"/>
      <c r="D18" s="26" t="n"/>
      <c r="E18" s="26" t="n"/>
      <c r="F18" s="13" t="n"/>
      <c r="G18" s="13" t="n"/>
      <c r="H18" s="13" t="n"/>
      <c r="I18" s="13" t="n"/>
      <c r="J18" s="23">
        <f>IF($A18="","",IFERROR(INDEX('Ref_Crosswalk'!$F$2:$F$500,MATCH($A18,'Ref_Crosswalk'!$A$2:$A$500,0)),"UNKNOWN"))</f>
        <v/>
      </c>
      <c r="K18" s="24">
        <f>IF($A18="","",IFERROR(INDEX('Ref_Tolerance'!$B$2:$B$9,MATCH($J18,'Ref_Tolerance'!$A$2:$A$9,0)),""))</f>
        <v/>
      </c>
      <c r="L18" s="23">
        <f>IF($A18="","",IFERROR(INDEX('Ref_Tolerance'!$D$2:$D$9,MATCH($J18,'Ref_Tolerance'!$A$2:$A$9,0)),""))</f>
        <v/>
      </c>
      <c r="M18" s="24">
        <f>IF($A18="","",IFERROR(ABS(N($D18))/N($C18),0))</f>
        <v/>
      </c>
      <c r="N18" s="24">
        <f>IF($A18="","",IFERROR(N($E18)/N($C18),0))</f>
        <v/>
      </c>
      <c r="O18" s="23">
        <f>IF($A18="",0,IFERROR(SUMPRODUCT(($A$8:$A$307=$A18)*($P$8:$P$307="FAIL")*($U$8:$U$307&gt;$V18)*($U$8:$U$307&lt;=$U18)),0))</f>
        <v/>
      </c>
      <c r="P18" s="23">
        <f>IF($A18="","",IFERROR(IF(NOT(ISNUMBER($K18)),"CHECK",IF($L18="MARGIN",IF($N18&lt;=$K18,"PASS","FAIL"),IF($M18&lt;=$K18,"PASS","FAIL"))),"CHECK"))</f>
        <v/>
      </c>
      <c r="Q18" s="23">
        <f>IF($A18="","",IFERROR(INDEX('Ref_Tolerance'!$E$2:$E$9,MATCH($J18,'Ref_Tolerance'!$A$2:$A$9,0)),""))</f>
        <v/>
      </c>
      <c r="R18" s="23">
        <f>IF($A18="","",IFERROR(IF($O18=0,"CLEAR",IF($O18=1,"MFR DUE - MANAGER",IF($O18=2,"MFR DUE - FSS/CC SIGNATURE REQUIRED","INVESTIGATION + REPORT OF SURVEY; MSG/CC NOTIFIED"))),""))</f>
        <v/>
      </c>
      <c r="S18" s="23">
        <f>IF($A18="","",IF($O18=2,"WATCH - ONE MORE MISS TRIGGERS INVESTIGATION",""))</f>
        <v/>
      </c>
      <c r="T18" s="23">
        <f>IF($A18="","",IFERROR(IF(AND($O18&gt;=1,$F18&lt;&gt;"Y"),"MFR NOT SUBMITTED",IF(AND($O18&gt;=2,$G18&lt;&gt;"Y"),"FSS/CC SIGNATURE MISSING",IF(AND($O18&gt;=3,$H18&lt;&gt;"Y"),"INVESTIGATION NOT OPENED",""))),""))</f>
        <v/>
      </c>
      <c r="U18" s="25">
        <f>IF($A18="",0,IFERROR(MATCH($B18,'Ref_Calendar'!$A$2:$A$500,0),0))</f>
        <v/>
      </c>
      <c r="V18" s="25">
        <f>IF($A18="",0,IFERROR(SUMPRODUCT(MAX(($A$8:$A$307=$A18)*($P$8:$P$307="PASS")*($U$8:$U$307&lt;=$U18)*$U$8:$U$307)),0))</f>
        <v/>
      </c>
      <c r="W18" s="25">
        <f>IF($A18="","",IFERROR(INDEX('Ref_Crosswalk'!$E$2:$E$500,MATCH($A18,'Ref_Crosswalk'!$A$2:$A$500,0)),""))</f>
        <v/>
      </c>
      <c r="X18" s="25">
        <f>IF($A18="","",IFERROR(INDEX('Ref_Crosswalk'!$C$2:$C$500,MATCH($A18,'Ref_Crosswalk'!$A$2:$A$500,0)),""))</f>
        <v/>
      </c>
      <c r="Y18" s="25">
        <f>IF($A18="",0,IF(AND(OR('Out_Dashboard'!$C$5="",$W18='Out_Dashboard'!$C$5),OR('Out_Dashboard'!$C$6="",$X18='Out_Dashboard'!$C$6),OR('Out_Dashboard'!$C$7="",$B18='Out_Dashboard'!$C$7)),1,0))</f>
        <v/>
      </c>
      <c r="Z18" s="25">
        <f>IF(AND($A18&lt;&gt;"",$S18&lt;&gt;"",$Y18=1),SUMPRODUCT(($A$8:$A18&lt;&gt;"")*($S$8:$S18&lt;&gt;"")*($Y$8:$Y18=1)),"")</f>
        <v/>
      </c>
      <c r="AA18" s="25">
        <f>IF(AND($A18&lt;&gt;"",$T18&lt;&gt;"",$Y18=1),SUMPRODUCT(($A$8:$A18&lt;&gt;"")*($T$8:$T18&lt;&gt;"")*($Y$8:$Y18=1)),"")</f>
        <v/>
      </c>
    </row>
    <row r="19">
      <c r="A19" s="13" t="n"/>
      <c r="B19" s="13" t="n"/>
      <c r="C19" s="26" t="n"/>
      <c r="D19" s="26" t="n"/>
      <c r="E19" s="26" t="n"/>
      <c r="F19" s="13" t="n"/>
      <c r="G19" s="13" t="n"/>
      <c r="H19" s="13" t="n"/>
      <c r="I19" s="13" t="n"/>
      <c r="J19" s="23">
        <f>IF($A19="","",IFERROR(INDEX('Ref_Crosswalk'!$F$2:$F$500,MATCH($A19,'Ref_Crosswalk'!$A$2:$A$500,0)),"UNKNOWN"))</f>
        <v/>
      </c>
      <c r="K19" s="24">
        <f>IF($A19="","",IFERROR(INDEX('Ref_Tolerance'!$B$2:$B$9,MATCH($J19,'Ref_Tolerance'!$A$2:$A$9,0)),""))</f>
        <v/>
      </c>
      <c r="L19" s="23">
        <f>IF($A19="","",IFERROR(INDEX('Ref_Tolerance'!$D$2:$D$9,MATCH($J19,'Ref_Tolerance'!$A$2:$A$9,0)),""))</f>
        <v/>
      </c>
      <c r="M19" s="24">
        <f>IF($A19="","",IFERROR(ABS(N($D19))/N($C19),0))</f>
        <v/>
      </c>
      <c r="N19" s="24">
        <f>IF($A19="","",IFERROR(N($E19)/N($C19),0))</f>
        <v/>
      </c>
      <c r="O19" s="23">
        <f>IF($A19="",0,IFERROR(SUMPRODUCT(($A$8:$A$307=$A19)*($P$8:$P$307="FAIL")*($U$8:$U$307&gt;$V19)*($U$8:$U$307&lt;=$U19)),0))</f>
        <v/>
      </c>
      <c r="P19" s="23">
        <f>IF($A19="","",IFERROR(IF(NOT(ISNUMBER($K19)),"CHECK",IF($L19="MARGIN",IF($N19&lt;=$K19,"PASS","FAIL"),IF($M19&lt;=$K19,"PASS","FAIL"))),"CHECK"))</f>
        <v/>
      </c>
      <c r="Q19" s="23">
        <f>IF($A19="","",IFERROR(INDEX('Ref_Tolerance'!$E$2:$E$9,MATCH($J19,'Ref_Tolerance'!$A$2:$A$9,0)),""))</f>
        <v/>
      </c>
      <c r="R19" s="23">
        <f>IF($A19="","",IFERROR(IF($O19=0,"CLEAR",IF($O19=1,"MFR DUE - MANAGER",IF($O19=2,"MFR DUE - FSS/CC SIGNATURE REQUIRED","INVESTIGATION + REPORT OF SURVEY; MSG/CC NOTIFIED"))),""))</f>
        <v/>
      </c>
      <c r="S19" s="23">
        <f>IF($A19="","",IF($O19=2,"WATCH - ONE MORE MISS TRIGGERS INVESTIGATION",""))</f>
        <v/>
      </c>
      <c r="T19" s="23">
        <f>IF($A19="","",IFERROR(IF(AND($O19&gt;=1,$F19&lt;&gt;"Y"),"MFR NOT SUBMITTED",IF(AND($O19&gt;=2,$G19&lt;&gt;"Y"),"FSS/CC SIGNATURE MISSING",IF(AND($O19&gt;=3,$H19&lt;&gt;"Y"),"INVESTIGATION NOT OPENED",""))),""))</f>
        <v/>
      </c>
      <c r="U19" s="25">
        <f>IF($A19="",0,IFERROR(MATCH($B19,'Ref_Calendar'!$A$2:$A$500,0),0))</f>
        <v/>
      </c>
      <c r="V19" s="25">
        <f>IF($A19="",0,IFERROR(SUMPRODUCT(MAX(($A$8:$A$307=$A19)*($P$8:$P$307="PASS")*($U$8:$U$307&lt;=$U19)*$U$8:$U$307)),0))</f>
        <v/>
      </c>
      <c r="W19" s="25">
        <f>IF($A19="","",IFERROR(INDEX('Ref_Crosswalk'!$E$2:$E$500,MATCH($A19,'Ref_Crosswalk'!$A$2:$A$500,0)),""))</f>
        <v/>
      </c>
      <c r="X19" s="25">
        <f>IF($A19="","",IFERROR(INDEX('Ref_Crosswalk'!$C$2:$C$500,MATCH($A19,'Ref_Crosswalk'!$A$2:$A$500,0)),""))</f>
        <v/>
      </c>
      <c r="Y19" s="25">
        <f>IF($A19="",0,IF(AND(OR('Out_Dashboard'!$C$5="",$W19='Out_Dashboard'!$C$5),OR('Out_Dashboard'!$C$6="",$X19='Out_Dashboard'!$C$6),OR('Out_Dashboard'!$C$7="",$B19='Out_Dashboard'!$C$7)),1,0))</f>
        <v/>
      </c>
      <c r="Z19" s="25">
        <f>IF(AND($A19&lt;&gt;"",$S19&lt;&gt;"",$Y19=1),SUMPRODUCT(($A$8:$A19&lt;&gt;"")*($S$8:$S19&lt;&gt;"")*($Y$8:$Y19=1)),"")</f>
        <v/>
      </c>
      <c r="AA19" s="25">
        <f>IF(AND($A19&lt;&gt;"",$T19&lt;&gt;"",$Y19=1),SUMPRODUCT(($A$8:$A19&lt;&gt;"")*($T$8:$T19&lt;&gt;"")*($Y$8:$Y19=1)),"")</f>
        <v/>
      </c>
    </row>
    <row r="20">
      <c r="A20" s="13" t="n"/>
      <c r="B20" s="13" t="n"/>
      <c r="C20" s="26" t="n"/>
      <c r="D20" s="26" t="n"/>
      <c r="E20" s="26" t="n"/>
      <c r="F20" s="13" t="n"/>
      <c r="G20" s="13" t="n"/>
      <c r="H20" s="13" t="n"/>
      <c r="I20" s="13" t="n"/>
      <c r="J20" s="23">
        <f>IF($A20="","",IFERROR(INDEX('Ref_Crosswalk'!$F$2:$F$500,MATCH($A20,'Ref_Crosswalk'!$A$2:$A$500,0)),"UNKNOWN"))</f>
        <v/>
      </c>
      <c r="K20" s="24">
        <f>IF($A20="","",IFERROR(INDEX('Ref_Tolerance'!$B$2:$B$9,MATCH($J20,'Ref_Tolerance'!$A$2:$A$9,0)),""))</f>
        <v/>
      </c>
      <c r="L20" s="23">
        <f>IF($A20="","",IFERROR(INDEX('Ref_Tolerance'!$D$2:$D$9,MATCH($J20,'Ref_Tolerance'!$A$2:$A$9,0)),""))</f>
        <v/>
      </c>
      <c r="M20" s="24">
        <f>IF($A20="","",IFERROR(ABS(N($D20))/N($C20),0))</f>
        <v/>
      </c>
      <c r="N20" s="24">
        <f>IF($A20="","",IFERROR(N($E20)/N($C20),0))</f>
        <v/>
      </c>
      <c r="O20" s="23">
        <f>IF($A20="",0,IFERROR(SUMPRODUCT(($A$8:$A$307=$A20)*($P$8:$P$307="FAIL")*($U$8:$U$307&gt;$V20)*($U$8:$U$307&lt;=$U20)),0))</f>
        <v/>
      </c>
      <c r="P20" s="23">
        <f>IF($A20="","",IFERROR(IF(NOT(ISNUMBER($K20)),"CHECK",IF($L20="MARGIN",IF($N20&lt;=$K20,"PASS","FAIL"),IF($M20&lt;=$K20,"PASS","FAIL"))),"CHECK"))</f>
        <v/>
      </c>
      <c r="Q20" s="23">
        <f>IF($A20="","",IFERROR(INDEX('Ref_Tolerance'!$E$2:$E$9,MATCH($J20,'Ref_Tolerance'!$A$2:$A$9,0)),""))</f>
        <v/>
      </c>
      <c r="R20" s="23">
        <f>IF($A20="","",IFERROR(IF($O20=0,"CLEAR",IF($O20=1,"MFR DUE - MANAGER",IF($O20=2,"MFR DUE - FSS/CC SIGNATURE REQUIRED","INVESTIGATION + REPORT OF SURVEY; MSG/CC NOTIFIED"))),""))</f>
        <v/>
      </c>
      <c r="S20" s="23">
        <f>IF($A20="","",IF($O20=2,"WATCH - ONE MORE MISS TRIGGERS INVESTIGATION",""))</f>
        <v/>
      </c>
      <c r="T20" s="23">
        <f>IF($A20="","",IFERROR(IF(AND($O20&gt;=1,$F20&lt;&gt;"Y"),"MFR NOT SUBMITTED",IF(AND($O20&gt;=2,$G20&lt;&gt;"Y"),"FSS/CC SIGNATURE MISSING",IF(AND($O20&gt;=3,$H20&lt;&gt;"Y"),"INVESTIGATION NOT OPENED",""))),""))</f>
        <v/>
      </c>
      <c r="U20" s="25">
        <f>IF($A20="",0,IFERROR(MATCH($B20,'Ref_Calendar'!$A$2:$A$500,0),0))</f>
        <v/>
      </c>
      <c r="V20" s="25">
        <f>IF($A20="",0,IFERROR(SUMPRODUCT(MAX(($A$8:$A$307=$A20)*($P$8:$P$307="PASS")*($U$8:$U$307&lt;=$U20)*$U$8:$U$307)),0))</f>
        <v/>
      </c>
      <c r="W20" s="25">
        <f>IF($A20="","",IFERROR(INDEX('Ref_Crosswalk'!$E$2:$E$500,MATCH($A20,'Ref_Crosswalk'!$A$2:$A$500,0)),""))</f>
        <v/>
      </c>
      <c r="X20" s="25">
        <f>IF($A20="","",IFERROR(INDEX('Ref_Crosswalk'!$C$2:$C$500,MATCH($A20,'Ref_Crosswalk'!$A$2:$A$500,0)),""))</f>
        <v/>
      </c>
      <c r="Y20" s="25">
        <f>IF($A20="",0,IF(AND(OR('Out_Dashboard'!$C$5="",$W20='Out_Dashboard'!$C$5),OR('Out_Dashboard'!$C$6="",$X20='Out_Dashboard'!$C$6),OR('Out_Dashboard'!$C$7="",$B20='Out_Dashboard'!$C$7)),1,0))</f>
        <v/>
      </c>
      <c r="Z20" s="25">
        <f>IF(AND($A20&lt;&gt;"",$S20&lt;&gt;"",$Y20=1),SUMPRODUCT(($A$8:$A20&lt;&gt;"")*($S$8:$S20&lt;&gt;"")*($Y$8:$Y20=1)),"")</f>
        <v/>
      </c>
      <c r="AA20" s="25">
        <f>IF(AND($A20&lt;&gt;"",$T20&lt;&gt;"",$Y20=1),SUMPRODUCT(($A$8:$A20&lt;&gt;"")*($T$8:$T20&lt;&gt;"")*($Y$8:$Y20=1)),"")</f>
        <v/>
      </c>
    </row>
    <row r="21">
      <c r="A21" s="13" t="n"/>
      <c r="B21" s="13" t="n"/>
      <c r="C21" s="26" t="n"/>
      <c r="D21" s="26" t="n"/>
      <c r="E21" s="26" t="n"/>
      <c r="F21" s="13" t="n"/>
      <c r="G21" s="13" t="n"/>
      <c r="H21" s="13" t="n"/>
      <c r="I21" s="13" t="n"/>
      <c r="J21" s="23">
        <f>IF($A21="","",IFERROR(INDEX('Ref_Crosswalk'!$F$2:$F$500,MATCH($A21,'Ref_Crosswalk'!$A$2:$A$500,0)),"UNKNOWN"))</f>
        <v/>
      </c>
      <c r="K21" s="24">
        <f>IF($A21="","",IFERROR(INDEX('Ref_Tolerance'!$B$2:$B$9,MATCH($J21,'Ref_Tolerance'!$A$2:$A$9,0)),""))</f>
        <v/>
      </c>
      <c r="L21" s="23">
        <f>IF($A21="","",IFERROR(INDEX('Ref_Tolerance'!$D$2:$D$9,MATCH($J21,'Ref_Tolerance'!$A$2:$A$9,0)),""))</f>
        <v/>
      </c>
      <c r="M21" s="24">
        <f>IF($A21="","",IFERROR(ABS(N($D21))/N($C21),0))</f>
        <v/>
      </c>
      <c r="N21" s="24">
        <f>IF($A21="","",IFERROR(N($E21)/N($C21),0))</f>
        <v/>
      </c>
      <c r="O21" s="23">
        <f>IF($A21="",0,IFERROR(SUMPRODUCT(($A$8:$A$307=$A21)*($P$8:$P$307="FAIL")*($U$8:$U$307&gt;$V21)*($U$8:$U$307&lt;=$U21)),0))</f>
        <v/>
      </c>
      <c r="P21" s="23">
        <f>IF($A21="","",IFERROR(IF(NOT(ISNUMBER($K21)),"CHECK",IF($L21="MARGIN",IF($N21&lt;=$K21,"PASS","FAIL"),IF($M21&lt;=$K21,"PASS","FAIL"))),"CHECK"))</f>
        <v/>
      </c>
      <c r="Q21" s="23">
        <f>IF($A21="","",IFERROR(INDEX('Ref_Tolerance'!$E$2:$E$9,MATCH($J21,'Ref_Tolerance'!$A$2:$A$9,0)),""))</f>
        <v/>
      </c>
      <c r="R21" s="23">
        <f>IF($A21="","",IFERROR(IF($O21=0,"CLEAR",IF($O21=1,"MFR DUE - MANAGER",IF($O21=2,"MFR DUE - FSS/CC SIGNATURE REQUIRED","INVESTIGATION + REPORT OF SURVEY; MSG/CC NOTIFIED"))),""))</f>
        <v/>
      </c>
      <c r="S21" s="23">
        <f>IF($A21="","",IF($O21=2,"WATCH - ONE MORE MISS TRIGGERS INVESTIGATION",""))</f>
        <v/>
      </c>
      <c r="T21" s="23">
        <f>IF($A21="","",IFERROR(IF(AND($O21&gt;=1,$F21&lt;&gt;"Y"),"MFR NOT SUBMITTED",IF(AND($O21&gt;=2,$G21&lt;&gt;"Y"),"FSS/CC SIGNATURE MISSING",IF(AND($O21&gt;=3,$H21&lt;&gt;"Y"),"INVESTIGATION NOT OPENED",""))),""))</f>
        <v/>
      </c>
      <c r="U21" s="25">
        <f>IF($A21="",0,IFERROR(MATCH($B21,'Ref_Calendar'!$A$2:$A$500,0),0))</f>
        <v/>
      </c>
      <c r="V21" s="25">
        <f>IF($A21="",0,IFERROR(SUMPRODUCT(MAX(($A$8:$A$307=$A21)*($P$8:$P$307="PASS")*($U$8:$U$307&lt;=$U21)*$U$8:$U$307)),0))</f>
        <v/>
      </c>
      <c r="W21" s="25">
        <f>IF($A21="","",IFERROR(INDEX('Ref_Crosswalk'!$E$2:$E$500,MATCH($A21,'Ref_Crosswalk'!$A$2:$A$500,0)),""))</f>
        <v/>
      </c>
      <c r="X21" s="25">
        <f>IF($A21="","",IFERROR(INDEX('Ref_Crosswalk'!$C$2:$C$500,MATCH($A21,'Ref_Crosswalk'!$A$2:$A$500,0)),""))</f>
        <v/>
      </c>
      <c r="Y21" s="25">
        <f>IF($A21="",0,IF(AND(OR('Out_Dashboard'!$C$5="",$W21='Out_Dashboard'!$C$5),OR('Out_Dashboard'!$C$6="",$X21='Out_Dashboard'!$C$6),OR('Out_Dashboard'!$C$7="",$B21='Out_Dashboard'!$C$7)),1,0))</f>
        <v/>
      </c>
      <c r="Z21" s="25">
        <f>IF(AND($A21&lt;&gt;"",$S21&lt;&gt;"",$Y21=1),SUMPRODUCT(($A$8:$A21&lt;&gt;"")*($S$8:$S21&lt;&gt;"")*($Y$8:$Y21=1)),"")</f>
        <v/>
      </c>
      <c r="AA21" s="25">
        <f>IF(AND($A21&lt;&gt;"",$T21&lt;&gt;"",$Y21=1),SUMPRODUCT(($A$8:$A21&lt;&gt;"")*($T$8:$T21&lt;&gt;"")*($Y$8:$Y21=1)),"")</f>
        <v/>
      </c>
    </row>
    <row r="22">
      <c r="A22" s="13" t="n"/>
      <c r="B22" s="13" t="n"/>
      <c r="C22" s="26" t="n"/>
      <c r="D22" s="26" t="n"/>
      <c r="E22" s="26" t="n"/>
      <c r="F22" s="13" t="n"/>
      <c r="G22" s="13" t="n"/>
      <c r="H22" s="13" t="n"/>
      <c r="I22" s="13" t="n"/>
      <c r="J22" s="23">
        <f>IF($A22="","",IFERROR(INDEX('Ref_Crosswalk'!$F$2:$F$500,MATCH($A22,'Ref_Crosswalk'!$A$2:$A$500,0)),"UNKNOWN"))</f>
        <v/>
      </c>
      <c r="K22" s="24">
        <f>IF($A22="","",IFERROR(INDEX('Ref_Tolerance'!$B$2:$B$9,MATCH($J22,'Ref_Tolerance'!$A$2:$A$9,0)),""))</f>
        <v/>
      </c>
      <c r="L22" s="23">
        <f>IF($A22="","",IFERROR(INDEX('Ref_Tolerance'!$D$2:$D$9,MATCH($J22,'Ref_Tolerance'!$A$2:$A$9,0)),""))</f>
        <v/>
      </c>
      <c r="M22" s="24">
        <f>IF($A22="","",IFERROR(ABS(N($D22))/N($C22),0))</f>
        <v/>
      </c>
      <c r="N22" s="24">
        <f>IF($A22="","",IFERROR(N($E22)/N($C22),0))</f>
        <v/>
      </c>
      <c r="O22" s="23">
        <f>IF($A22="",0,IFERROR(SUMPRODUCT(($A$8:$A$307=$A22)*($P$8:$P$307="FAIL")*($U$8:$U$307&gt;$V22)*($U$8:$U$307&lt;=$U22)),0))</f>
        <v/>
      </c>
      <c r="P22" s="23">
        <f>IF($A22="","",IFERROR(IF(NOT(ISNUMBER($K22)),"CHECK",IF($L22="MARGIN",IF($N22&lt;=$K22,"PASS","FAIL"),IF($M22&lt;=$K22,"PASS","FAIL"))),"CHECK"))</f>
        <v/>
      </c>
      <c r="Q22" s="23">
        <f>IF($A22="","",IFERROR(INDEX('Ref_Tolerance'!$E$2:$E$9,MATCH($J22,'Ref_Tolerance'!$A$2:$A$9,0)),""))</f>
        <v/>
      </c>
      <c r="R22" s="23">
        <f>IF($A22="","",IFERROR(IF($O22=0,"CLEAR",IF($O22=1,"MFR DUE - MANAGER",IF($O22=2,"MFR DUE - FSS/CC SIGNATURE REQUIRED","INVESTIGATION + REPORT OF SURVEY; MSG/CC NOTIFIED"))),""))</f>
        <v/>
      </c>
      <c r="S22" s="23">
        <f>IF($A22="","",IF($O22=2,"WATCH - ONE MORE MISS TRIGGERS INVESTIGATION",""))</f>
        <v/>
      </c>
      <c r="T22" s="23">
        <f>IF($A22="","",IFERROR(IF(AND($O22&gt;=1,$F22&lt;&gt;"Y"),"MFR NOT SUBMITTED",IF(AND($O22&gt;=2,$G22&lt;&gt;"Y"),"FSS/CC SIGNATURE MISSING",IF(AND($O22&gt;=3,$H22&lt;&gt;"Y"),"INVESTIGATION NOT OPENED",""))),""))</f>
        <v/>
      </c>
      <c r="U22" s="25">
        <f>IF($A22="",0,IFERROR(MATCH($B22,'Ref_Calendar'!$A$2:$A$500,0),0))</f>
        <v/>
      </c>
      <c r="V22" s="25">
        <f>IF($A22="",0,IFERROR(SUMPRODUCT(MAX(($A$8:$A$307=$A22)*($P$8:$P$307="PASS")*($U$8:$U$307&lt;=$U22)*$U$8:$U$307)),0))</f>
        <v/>
      </c>
      <c r="W22" s="25">
        <f>IF($A22="","",IFERROR(INDEX('Ref_Crosswalk'!$E$2:$E$500,MATCH($A22,'Ref_Crosswalk'!$A$2:$A$500,0)),""))</f>
        <v/>
      </c>
      <c r="X22" s="25">
        <f>IF($A22="","",IFERROR(INDEX('Ref_Crosswalk'!$C$2:$C$500,MATCH($A22,'Ref_Crosswalk'!$A$2:$A$500,0)),""))</f>
        <v/>
      </c>
      <c r="Y22" s="25">
        <f>IF($A22="",0,IF(AND(OR('Out_Dashboard'!$C$5="",$W22='Out_Dashboard'!$C$5),OR('Out_Dashboard'!$C$6="",$X22='Out_Dashboard'!$C$6),OR('Out_Dashboard'!$C$7="",$B22='Out_Dashboard'!$C$7)),1,0))</f>
        <v/>
      </c>
      <c r="Z22" s="25">
        <f>IF(AND($A22&lt;&gt;"",$S22&lt;&gt;"",$Y22=1),SUMPRODUCT(($A$8:$A22&lt;&gt;"")*($S$8:$S22&lt;&gt;"")*($Y$8:$Y22=1)),"")</f>
        <v/>
      </c>
      <c r="AA22" s="25">
        <f>IF(AND($A22&lt;&gt;"",$T22&lt;&gt;"",$Y22=1),SUMPRODUCT(($A$8:$A22&lt;&gt;"")*($T$8:$T22&lt;&gt;"")*($Y$8:$Y22=1)),"")</f>
        <v/>
      </c>
    </row>
    <row r="23">
      <c r="A23" s="13" t="n"/>
      <c r="B23" s="13" t="n"/>
      <c r="C23" s="26" t="n"/>
      <c r="D23" s="26" t="n"/>
      <c r="E23" s="26" t="n"/>
      <c r="F23" s="13" t="n"/>
      <c r="G23" s="13" t="n"/>
      <c r="H23" s="13" t="n"/>
      <c r="I23" s="13" t="n"/>
      <c r="J23" s="23">
        <f>IF($A23="","",IFERROR(INDEX('Ref_Crosswalk'!$F$2:$F$500,MATCH($A23,'Ref_Crosswalk'!$A$2:$A$500,0)),"UNKNOWN"))</f>
        <v/>
      </c>
      <c r="K23" s="24">
        <f>IF($A23="","",IFERROR(INDEX('Ref_Tolerance'!$B$2:$B$9,MATCH($J23,'Ref_Tolerance'!$A$2:$A$9,0)),""))</f>
        <v/>
      </c>
      <c r="L23" s="23">
        <f>IF($A23="","",IFERROR(INDEX('Ref_Tolerance'!$D$2:$D$9,MATCH($J23,'Ref_Tolerance'!$A$2:$A$9,0)),""))</f>
        <v/>
      </c>
      <c r="M23" s="24">
        <f>IF($A23="","",IFERROR(ABS(N($D23))/N($C23),0))</f>
        <v/>
      </c>
      <c r="N23" s="24">
        <f>IF($A23="","",IFERROR(N($E23)/N($C23),0))</f>
        <v/>
      </c>
      <c r="O23" s="23">
        <f>IF($A23="",0,IFERROR(SUMPRODUCT(($A$8:$A$307=$A23)*($P$8:$P$307="FAIL")*($U$8:$U$307&gt;$V23)*($U$8:$U$307&lt;=$U23)),0))</f>
        <v/>
      </c>
      <c r="P23" s="23">
        <f>IF($A23="","",IFERROR(IF(NOT(ISNUMBER($K23)),"CHECK",IF($L23="MARGIN",IF($N23&lt;=$K23,"PASS","FAIL"),IF($M23&lt;=$K23,"PASS","FAIL"))),"CHECK"))</f>
        <v/>
      </c>
      <c r="Q23" s="23">
        <f>IF($A23="","",IFERROR(INDEX('Ref_Tolerance'!$E$2:$E$9,MATCH($J23,'Ref_Tolerance'!$A$2:$A$9,0)),""))</f>
        <v/>
      </c>
      <c r="R23" s="23">
        <f>IF($A23="","",IFERROR(IF($O23=0,"CLEAR",IF($O23=1,"MFR DUE - MANAGER",IF($O23=2,"MFR DUE - FSS/CC SIGNATURE REQUIRED","INVESTIGATION + REPORT OF SURVEY; MSG/CC NOTIFIED"))),""))</f>
        <v/>
      </c>
      <c r="S23" s="23">
        <f>IF($A23="","",IF($O23=2,"WATCH - ONE MORE MISS TRIGGERS INVESTIGATION",""))</f>
        <v/>
      </c>
      <c r="T23" s="23">
        <f>IF($A23="","",IFERROR(IF(AND($O23&gt;=1,$F23&lt;&gt;"Y"),"MFR NOT SUBMITTED",IF(AND($O23&gt;=2,$G23&lt;&gt;"Y"),"FSS/CC SIGNATURE MISSING",IF(AND($O23&gt;=3,$H23&lt;&gt;"Y"),"INVESTIGATION NOT OPENED",""))),""))</f>
        <v/>
      </c>
      <c r="U23" s="25">
        <f>IF($A23="",0,IFERROR(MATCH($B23,'Ref_Calendar'!$A$2:$A$500,0),0))</f>
        <v/>
      </c>
      <c r="V23" s="25">
        <f>IF($A23="",0,IFERROR(SUMPRODUCT(MAX(($A$8:$A$307=$A23)*($P$8:$P$307="PASS")*($U$8:$U$307&lt;=$U23)*$U$8:$U$307)),0))</f>
        <v/>
      </c>
      <c r="W23" s="25">
        <f>IF($A23="","",IFERROR(INDEX('Ref_Crosswalk'!$E$2:$E$500,MATCH($A23,'Ref_Crosswalk'!$A$2:$A$500,0)),""))</f>
        <v/>
      </c>
      <c r="X23" s="25">
        <f>IF($A23="","",IFERROR(INDEX('Ref_Crosswalk'!$C$2:$C$500,MATCH($A23,'Ref_Crosswalk'!$A$2:$A$500,0)),""))</f>
        <v/>
      </c>
      <c r="Y23" s="25">
        <f>IF($A23="",0,IF(AND(OR('Out_Dashboard'!$C$5="",$W23='Out_Dashboard'!$C$5),OR('Out_Dashboard'!$C$6="",$X23='Out_Dashboard'!$C$6),OR('Out_Dashboard'!$C$7="",$B23='Out_Dashboard'!$C$7)),1,0))</f>
        <v/>
      </c>
      <c r="Z23" s="25">
        <f>IF(AND($A23&lt;&gt;"",$S23&lt;&gt;"",$Y23=1),SUMPRODUCT(($A$8:$A23&lt;&gt;"")*($S$8:$S23&lt;&gt;"")*($Y$8:$Y23=1)),"")</f>
        <v/>
      </c>
      <c r="AA23" s="25">
        <f>IF(AND($A23&lt;&gt;"",$T23&lt;&gt;"",$Y23=1),SUMPRODUCT(($A$8:$A23&lt;&gt;"")*($T$8:$T23&lt;&gt;"")*($Y$8:$Y23=1)),"")</f>
        <v/>
      </c>
    </row>
    <row r="24">
      <c r="A24" s="13" t="n"/>
      <c r="B24" s="13" t="n"/>
      <c r="C24" s="26" t="n"/>
      <c r="D24" s="26" t="n"/>
      <c r="E24" s="26" t="n"/>
      <c r="F24" s="13" t="n"/>
      <c r="G24" s="13" t="n"/>
      <c r="H24" s="13" t="n"/>
      <c r="I24" s="13" t="n"/>
      <c r="J24" s="23">
        <f>IF($A24="","",IFERROR(INDEX('Ref_Crosswalk'!$F$2:$F$500,MATCH($A24,'Ref_Crosswalk'!$A$2:$A$500,0)),"UNKNOWN"))</f>
        <v/>
      </c>
      <c r="K24" s="24">
        <f>IF($A24="","",IFERROR(INDEX('Ref_Tolerance'!$B$2:$B$9,MATCH($J24,'Ref_Tolerance'!$A$2:$A$9,0)),""))</f>
        <v/>
      </c>
      <c r="L24" s="23">
        <f>IF($A24="","",IFERROR(INDEX('Ref_Tolerance'!$D$2:$D$9,MATCH($J24,'Ref_Tolerance'!$A$2:$A$9,0)),""))</f>
        <v/>
      </c>
      <c r="M24" s="24">
        <f>IF($A24="","",IFERROR(ABS(N($D24))/N($C24),0))</f>
        <v/>
      </c>
      <c r="N24" s="24">
        <f>IF($A24="","",IFERROR(N($E24)/N($C24),0))</f>
        <v/>
      </c>
      <c r="O24" s="23">
        <f>IF($A24="",0,IFERROR(SUMPRODUCT(($A$8:$A$307=$A24)*($P$8:$P$307="FAIL")*($U$8:$U$307&gt;$V24)*($U$8:$U$307&lt;=$U24)),0))</f>
        <v/>
      </c>
      <c r="P24" s="23">
        <f>IF($A24="","",IFERROR(IF(NOT(ISNUMBER($K24)),"CHECK",IF($L24="MARGIN",IF($N24&lt;=$K24,"PASS","FAIL"),IF($M24&lt;=$K24,"PASS","FAIL"))),"CHECK"))</f>
        <v/>
      </c>
      <c r="Q24" s="23">
        <f>IF($A24="","",IFERROR(INDEX('Ref_Tolerance'!$E$2:$E$9,MATCH($J24,'Ref_Tolerance'!$A$2:$A$9,0)),""))</f>
        <v/>
      </c>
      <c r="R24" s="23">
        <f>IF($A24="","",IFERROR(IF($O24=0,"CLEAR",IF($O24=1,"MFR DUE - MANAGER",IF($O24=2,"MFR DUE - FSS/CC SIGNATURE REQUIRED","INVESTIGATION + REPORT OF SURVEY; MSG/CC NOTIFIED"))),""))</f>
        <v/>
      </c>
      <c r="S24" s="23">
        <f>IF($A24="","",IF($O24=2,"WATCH - ONE MORE MISS TRIGGERS INVESTIGATION",""))</f>
        <v/>
      </c>
      <c r="T24" s="23">
        <f>IF($A24="","",IFERROR(IF(AND($O24&gt;=1,$F24&lt;&gt;"Y"),"MFR NOT SUBMITTED",IF(AND($O24&gt;=2,$G24&lt;&gt;"Y"),"FSS/CC SIGNATURE MISSING",IF(AND($O24&gt;=3,$H24&lt;&gt;"Y"),"INVESTIGATION NOT OPENED",""))),""))</f>
        <v/>
      </c>
      <c r="U24" s="25">
        <f>IF($A24="",0,IFERROR(MATCH($B24,'Ref_Calendar'!$A$2:$A$500,0),0))</f>
        <v/>
      </c>
      <c r="V24" s="25">
        <f>IF($A24="",0,IFERROR(SUMPRODUCT(MAX(($A$8:$A$307=$A24)*($P$8:$P$307="PASS")*($U$8:$U$307&lt;=$U24)*$U$8:$U$307)),0))</f>
        <v/>
      </c>
      <c r="W24" s="25">
        <f>IF($A24="","",IFERROR(INDEX('Ref_Crosswalk'!$E$2:$E$500,MATCH($A24,'Ref_Crosswalk'!$A$2:$A$500,0)),""))</f>
        <v/>
      </c>
      <c r="X24" s="25">
        <f>IF($A24="","",IFERROR(INDEX('Ref_Crosswalk'!$C$2:$C$500,MATCH($A24,'Ref_Crosswalk'!$A$2:$A$500,0)),""))</f>
        <v/>
      </c>
      <c r="Y24" s="25">
        <f>IF($A24="",0,IF(AND(OR('Out_Dashboard'!$C$5="",$W24='Out_Dashboard'!$C$5),OR('Out_Dashboard'!$C$6="",$X24='Out_Dashboard'!$C$6),OR('Out_Dashboard'!$C$7="",$B24='Out_Dashboard'!$C$7)),1,0))</f>
        <v/>
      </c>
      <c r="Z24" s="25">
        <f>IF(AND($A24&lt;&gt;"",$S24&lt;&gt;"",$Y24=1),SUMPRODUCT(($A$8:$A24&lt;&gt;"")*($S$8:$S24&lt;&gt;"")*($Y$8:$Y24=1)),"")</f>
        <v/>
      </c>
      <c r="AA24" s="25">
        <f>IF(AND($A24&lt;&gt;"",$T24&lt;&gt;"",$Y24=1),SUMPRODUCT(($A$8:$A24&lt;&gt;"")*($T$8:$T24&lt;&gt;"")*($Y$8:$Y24=1)),"")</f>
        <v/>
      </c>
    </row>
    <row r="25">
      <c r="A25" s="13" t="n"/>
      <c r="B25" s="13" t="n"/>
      <c r="C25" s="26" t="n"/>
      <c r="D25" s="26" t="n"/>
      <c r="E25" s="26" t="n"/>
      <c r="F25" s="13" t="n"/>
      <c r="G25" s="13" t="n"/>
      <c r="H25" s="13" t="n"/>
      <c r="I25" s="13" t="n"/>
      <c r="J25" s="23">
        <f>IF($A25="","",IFERROR(INDEX('Ref_Crosswalk'!$F$2:$F$500,MATCH($A25,'Ref_Crosswalk'!$A$2:$A$500,0)),"UNKNOWN"))</f>
        <v/>
      </c>
      <c r="K25" s="24">
        <f>IF($A25="","",IFERROR(INDEX('Ref_Tolerance'!$B$2:$B$9,MATCH($J25,'Ref_Tolerance'!$A$2:$A$9,0)),""))</f>
        <v/>
      </c>
      <c r="L25" s="23">
        <f>IF($A25="","",IFERROR(INDEX('Ref_Tolerance'!$D$2:$D$9,MATCH($J25,'Ref_Tolerance'!$A$2:$A$9,0)),""))</f>
        <v/>
      </c>
      <c r="M25" s="24">
        <f>IF($A25="","",IFERROR(ABS(N($D25))/N($C25),0))</f>
        <v/>
      </c>
      <c r="N25" s="24">
        <f>IF($A25="","",IFERROR(N($E25)/N($C25),0))</f>
        <v/>
      </c>
      <c r="O25" s="23">
        <f>IF($A25="",0,IFERROR(SUMPRODUCT(($A$8:$A$307=$A25)*($P$8:$P$307="FAIL")*($U$8:$U$307&gt;$V25)*($U$8:$U$307&lt;=$U25)),0))</f>
        <v/>
      </c>
      <c r="P25" s="23">
        <f>IF($A25="","",IFERROR(IF(NOT(ISNUMBER($K25)),"CHECK",IF($L25="MARGIN",IF($N25&lt;=$K25,"PASS","FAIL"),IF($M25&lt;=$K25,"PASS","FAIL"))),"CHECK"))</f>
        <v/>
      </c>
      <c r="Q25" s="23">
        <f>IF($A25="","",IFERROR(INDEX('Ref_Tolerance'!$E$2:$E$9,MATCH($J25,'Ref_Tolerance'!$A$2:$A$9,0)),""))</f>
        <v/>
      </c>
      <c r="R25" s="23">
        <f>IF($A25="","",IFERROR(IF($O25=0,"CLEAR",IF($O25=1,"MFR DUE - MANAGER",IF($O25=2,"MFR DUE - FSS/CC SIGNATURE REQUIRED","INVESTIGATION + REPORT OF SURVEY; MSG/CC NOTIFIED"))),""))</f>
        <v/>
      </c>
      <c r="S25" s="23">
        <f>IF($A25="","",IF($O25=2,"WATCH - ONE MORE MISS TRIGGERS INVESTIGATION",""))</f>
        <v/>
      </c>
      <c r="T25" s="23">
        <f>IF($A25="","",IFERROR(IF(AND($O25&gt;=1,$F25&lt;&gt;"Y"),"MFR NOT SUBMITTED",IF(AND($O25&gt;=2,$G25&lt;&gt;"Y"),"FSS/CC SIGNATURE MISSING",IF(AND($O25&gt;=3,$H25&lt;&gt;"Y"),"INVESTIGATION NOT OPENED",""))),""))</f>
        <v/>
      </c>
      <c r="U25" s="25">
        <f>IF($A25="",0,IFERROR(MATCH($B25,'Ref_Calendar'!$A$2:$A$500,0),0))</f>
        <v/>
      </c>
      <c r="V25" s="25">
        <f>IF($A25="",0,IFERROR(SUMPRODUCT(MAX(($A$8:$A$307=$A25)*($P$8:$P$307="PASS")*($U$8:$U$307&lt;=$U25)*$U$8:$U$307)),0))</f>
        <v/>
      </c>
      <c r="W25" s="25">
        <f>IF($A25="","",IFERROR(INDEX('Ref_Crosswalk'!$E$2:$E$500,MATCH($A25,'Ref_Crosswalk'!$A$2:$A$500,0)),""))</f>
        <v/>
      </c>
      <c r="X25" s="25">
        <f>IF($A25="","",IFERROR(INDEX('Ref_Crosswalk'!$C$2:$C$500,MATCH($A25,'Ref_Crosswalk'!$A$2:$A$500,0)),""))</f>
        <v/>
      </c>
      <c r="Y25" s="25">
        <f>IF($A25="",0,IF(AND(OR('Out_Dashboard'!$C$5="",$W25='Out_Dashboard'!$C$5),OR('Out_Dashboard'!$C$6="",$X25='Out_Dashboard'!$C$6),OR('Out_Dashboard'!$C$7="",$B25='Out_Dashboard'!$C$7)),1,0))</f>
        <v/>
      </c>
      <c r="Z25" s="25">
        <f>IF(AND($A25&lt;&gt;"",$S25&lt;&gt;"",$Y25=1),SUMPRODUCT(($A$8:$A25&lt;&gt;"")*($S$8:$S25&lt;&gt;"")*($Y$8:$Y25=1)),"")</f>
        <v/>
      </c>
      <c r="AA25" s="25">
        <f>IF(AND($A25&lt;&gt;"",$T25&lt;&gt;"",$Y25=1),SUMPRODUCT(($A$8:$A25&lt;&gt;"")*($T$8:$T25&lt;&gt;"")*($Y$8:$Y25=1)),"")</f>
        <v/>
      </c>
    </row>
    <row r="26">
      <c r="A26" s="13" t="n"/>
      <c r="B26" s="13" t="n"/>
      <c r="C26" s="26" t="n"/>
      <c r="D26" s="26" t="n"/>
      <c r="E26" s="26" t="n"/>
      <c r="F26" s="13" t="n"/>
      <c r="G26" s="13" t="n"/>
      <c r="H26" s="13" t="n"/>
      <c r="I26" s="13" t="n"/>
      <c r="J26" s="23">
        <f>IF($A26="","",IFERROR(INDEX('Ref_Crosswalk'!$F$2:$F$500,MATCH($A26,'Ref_Crosswalk'!$A$2:$A$500,0)),"UNKNOWN"))</f>
        <v/>
      </c>
      <c r="K26" s="24">
        <f>IF($A26="","",IFERROR(INDEX('Ref_Tolerance'!$B$2:$B$9,MATCH($J26,'Ref_Tolerance'!$A$2:$A$9,0)),""))</f>
        <v/>
      </c>
      <c r="L26" s="23">
        <f>IF($A26="","",IFERROR(INDEX('Ref_Tolerance'!$D$2:$D$9,MATCH($J26,'Ref_Tolerance'!$A$2:$A$9,0)),""))</f>
        <v/>
      </c>
      <c r="M26" s="24">
        <f>IF($A26="","",IFERROR(ABS(N($D26))/N($C26),0))</f>
        <v/>
      </c>
      <c r="N26" s="24">
        <f>IF($A26="","",IFERROR(N($E26)/N($C26),0))</f>
        <v/>
      </c>
      <c r="O26" s="23">
        <f>IF($A26="",0,IFERROR(SUMPRODUCT(($A$8:$A$307=$A26)*($P$8:$P$307="FAIL")*($U$8:$U$307&gt;$V26)*($U$8:$U$307&lt;=$U26)),0))</f>
        <v/>
      </c>
      <c r="P26" s="23">
        <f>IF($A26="","",IFERROR(IF(NOT(ISNUMBER($K26)),"CHECK",IF($L26="MARGIN",IF($N26&lt;=$K26,"PASS","FAIL"),IF($M26&lt;=$K26,"PASS","FAIL"))),"CHECK"))</f>
        <v/>
      </c>
      <c r="Q26" s="23">
        <f>IF($A26="","",IFERROR(INDEX('Ref_Tolerance'!$E$2:$E$9,MATCH($J26,'Ref_Tolerance'!$A$2:$A$9,0)),""))</f>
        <v/>
      </c>
      <c r="R26" s="23">
        <f>IF($A26="","",IFERROR(IF($O26=0,"CLEAR",IF($O26=1,"MFR DUE - MANAGER",IF($O26=2,"MFR DUE - FSS/CC SIGNATURE REQUIRED","INVESTIGATION + REPORT OF SURVEY; MSG/CC NOTIFIED"))),""))</f>
        <v/>
      </c>
      <c r="S26" s="23">
        <f>IF($A26="","",IF($O26=2,"WATCH - ONE MORE MISS TRIGGERS INVESTIGATION",""))</f>
        <v/>
      </c>
      <c r="T26" s="23">
        <f>IF($A26="","",IFERROR(IF(AND($O26&gt;=1,$F26&lt;&gt;"Y"),"MFR NOT SUBMITTED",IF(AND($O26&gt;=2,$G26&lt;&gt;"Y"),"FSS/CC SIGNATURE MISSING",IF(AND($O26&gt;=3,$H26&lt;&gt;"Y"),"INVESTIGATION NOT OPENED",""))),""))</f>
        <v/>
      </c>
      <c r="U26" s="25">
        <f>IF($A26="",0,IFERROR(MATCH($B26,'Ref_Calendar'!$A$2:$A$500,0),0))</f>
        <v/>
      </c>
      <c r="V26" s="25">
        <f>IF($A26="",0,IFERROR(SUMPRODUCT(MAX(($A$8:$A$307=$A26)*($P$8:$P$307="PASS")*($U$8:$U$307&lt;=$U26)*$U$8:$U$307)),0))</f>
        <v/>
      </c>
      <c r="W26" s="25">
        <f>IF($A26="","",IFERROR(INDEX('Ref_Crosswalk'!$E$2:$E$500,MATCH($A26,'Ref_Crosswalk'!$A$2:$A$500,0)),""))</f>
        <v/>
      </c>
      <c r="X26" s="25">
        <f>IF($A26="","",IFERROR(INDEX('Ref_Crosswalk'!$C$2:$C$500,MATCH($A26,'Ref_Crosswalk'!$A$2:$A$500,0)),""))</f>
        <v/>
      </c>
      <c r="Y26" s="25">
        <f>IF($A26="",0,IF(AND(OR('Out_Dashboard'!$C$5="",$W26='Out_Dashboard'!$C$5),OR('Out_Dashboard'!$C$6="",$X26='Out_Dashboard'!$C$6),OR('Out_Dashboard'!$C$7="",$B26='Out_Dashboard'!$C$7)),1,0))</f>
        <v/>
      </c>
      <c r="Z26" s="25">
        <f>IF(AND($A26&lt;&gt;"",$S26&lt;&gt;"",$Y26=1),SUMPRODUCT(($A$8:$A26&lt;&gt;"")*($S$8:$S26&lt;&gt;"")*($Y$8:$Y26=1)),"")</f>
        <v/>
      </c>
      <c r="AA26" s="25">
        <f>IF(AND($A26&lt;&gt;"",$T26&lt;&gt;"",$Y26=1),SUMPRODUCT(($A$8:$A26&lt;&gt;"")*($T$8:$T26&lt;&gt;"")*($Y$8:$Y26=1)),"")</f>
        <v/>
      </c>
    </row>
    <row r="27">
      <c r="A27" s="13" t="n"/>
      <c r="B27" s="13" t="n"/>
      <c r="C27" s="26" t="n"/>
      <c r="D27" s="26" t="n"/>
      <c r="E27" s="26" t="n"/>
      <c r="F27" s="13" t="n"/>
      <c r="G27" s="13" t="n"/>
      <c r="H27" s="13" t="n"/>
      <c r="I27" s="13" t="n"/>
      <c r="J27" s="23">
        <f>IF($A27="","",IFERROR(INDEX('Ref_Crosswalk'!$F$2:$F$500,MATCH($A27,'Ref_Crosswalk'!$A$2:$A$500,0)),"UNKNOWN"))</f>
        <v/>
      </c>
      <c r="K27" s="24">
        <f>IF($A27="","",IFERROR(INDEX('Ref_Tolerance'!$B$2:$B$9,MATCH($J27,'Ref_Tolerance'!$A$2:$A$9,0)),""))</f>
        <v/>
      </c>
      <c r="L27" s="23">
        <f>IF($A27="","",IFERROR(INDEX('Ref_Tolerance'!$D$2:$D$9,MATCH($J27,'Ref_Tolerance'!$A$2:$A$9,0)),""))</f>
        <v/>
      </c>
      <c r="M27" s="24">
        <f>IF($A27="","",IFERROR(ABS(N($D27))/N($C27),0))</f>
        <v/>
      </c>
      <c r="N27" s="24">
        <f>IF($A27="","",IFERROR(N($E27)/N($C27),0))</f>
        <v/>
      </c>
      <c r="O27" s="23">
        <f>IF($A27="",0,IFERROR(SUMPRODUCT(($A$8:$A$307=$A27)*($P$8:$P$307="FAIL")*($U$8:$U$307&gt;$V27)*($U$8:$U$307&lt;=$U27)),0))</f>
        <v/>
      </c>
      <c r="P27" s="23">
        <f>IF($A27="","",IFERROR(IF(NOT(ISNUMBER($K27)),"CHECK",IF($L27="MARGIN",IF($N27&lt;=$K27,"PASS","FAIL"),IF($M27&lt;=$K27,"PASS","FAIL"))),"CHECK"))</f>
        <v/>
      </c>
      <c r="Q27" s="23">
        <f>IF($A27="","",IFERROR(INDEX('Ref_Tolerance'!$E$2:$E$9,MATCH($J27,'Ref_Tolerance'!$A$2:$A$9,0)),""))</f>
        <v/>
      </c>
      <c r="R27" s="23">
        <f>IF($A27="","",IFERROR(IF($O27=0,"CLEAR",IF($O27=1,"MFR DUE - MANAGER",IF($O27=2,"MFR DUE - FSS/CC SIGNATURE REQUIRED","INVESTIGATION + REPORT OF SURVEY; MSG/CC NOTIFIED"))),""))</f>
        <v/>
      </c>
      <c r="S27" s="23">
        <f>IF($A27="","",IF($O27=2,"WATCH - ONE MORE MISS TRIGGERS INVESTIGATION",""))</f>
        <v/>
      </c>
      <c r="T27" s="23">
        <f>IF($A27="","",IFERROR(IF(AND($O27&gt;=1,$F27&lt;&gt;"Y"),"MFR NOT SUBMITTED",IF(AND($O27&gt;=2,$G27&lt;&gt;"Y"),"FSS/CC SIGNATURE MISSING",IF(AND($O27&gt;=3,$H27&lt;&gt;"Y"),"INVESTIGATION NOT OPENED",""))),""))</f>
        <v/>
      </c>
      <c r="U27" s="25">
        <f>IF($A27="",0,IFERROR(MATCH($B27,'Ref_Calendar'!$A$2:$A$500,0),0))</f>
        <v/>
      </c>
      <c r="V27" s="25">
        <f>IF($A27="",0,IFERROR(SUMPRODUCT(MAX(($A$8:$A$307=$A27)*($P$8:$P$307="PASS")*($U$8:$U$307&lt;=$U27)*$U$8:$U$307)),0))</f>
        <v/>
      </c>
      <c r="W27" s="25">
        <f>IF($A27="","",IFERROR(INDEX('Ref_Crosswalk'!$E$2:$E$500,MATCH($A27,'Ref_Crosswalk'!$A$2:$A$500,0)),""))</f>
        <v/>
      </c>
      <c r="X27" s="25">
        <f>IF($A27="","",IFERROR(INDEX('Ref_Crosswalk'!$C$2:$C$500,MATCH($A27,'Ref_Crosswalk'!$A$2:$A$500,0)),""))</f>
        <v/>
      </c>
      <c r="Y27" s="25">
        <f>IF($A27="",0,IF(AND(OR('Out_Dashboard'!$C$5="",$W27='Out_Dashboard'!$C$5),OR('Out_Dashboard'!$C$6="",$X27='Out_Dashboard'!$C$6),OR('Out_Dashboard'!$C$7="",$B27='Out_Dashboard'!$C$7)),1,0))</f>
        <v/>
      </c>
      <c r="Z27" s="25">
        <f>IF(AND($A27&lt;&gt;"",$S27&lt;&gt;"",$Y27=1),SUMPRODUCT(($A$8:$A27&lt;&gt;"")*($S$8:$S27&lt;&gt;"")*($Y$8:$Y27=1)),"")</f>
        <v/>
      </c>
      <c r="AA27" s="25">
        <f>IF(AND($A27&lt;&gt;"",$T27&lt;&gt;"",$Y27=1),SUMPRODUCT(($A$8:$A27&lt;&gt;"")*($T$8:$T27&lt;&gt;"")*($Y$8:$Y27=1)),"")</f>
        <v/>
      </c>
    </row>
    <row r="28">
      <c r="A28" s="13" t="n"/>
      <c r="B28" s="13" t="n"/>
      <c r="C28" s="26" t="n"/>
      <c r="D28" s="26" t="n"/>
      <c r="E28" s="26" t="n"/>
      <c r="F28" s="13" t="n"/>
      <c r="G28" s="13" t="n"/>
      <c r="H28" s="13" t="n"/>
      <c r="I28" s="13" t="n"/>
      <c r="J28" s="23">
        <f>IF($A28="","",IFERROR(INDEX('Ref_Crosswalk'!$F$2:$F$500,MATCH($A28,'Ref_Crosswalk'!$A$2:$A$500,0)),"UNKNOWN"))</f>
        <v/>
      </c>
      <c r="K28" s="24">
        <f>IF($A28="","",IFERROR(INDEX('Ref_Tolerance'!$B$2:$B$9,MATCH($J28,'Ref_Tolerance'!$A$2:$A$9,0)),""))</f>
        <v/>
      </c>
      <c r="L28" s="23">
        <f>IF($A28="","",IFERROR(INDEX('Ref_Tolerance'!$D$2:$D$9,MATCH($J28,'Ref_Tolerance'!$A$2:$A$9,0)),""))</f>
        <v/>
      </c>
      <c r="M28" s="24">
        <f>IF($A28="","",IFERROR(ABS(N($D28))/N($C28),0))</f>
        <v/>
      </c>
      <c r="N28" s="24">
        <f>IF($A28="","",IFERROR(N($E28)/N($C28),0))</f>
        <v/>
      </c>
      <c r="O28" s="23">
        <f>IF($A28="",0,IFERROR(SUMPRODUCT(($A$8:$A$307=$A28)*($P$8:$P$307="FAIL")*($U$8:$U$307&gt;$V28)*($U$8:$U$307&lt;=$U28)),0))</f>
        <v/>
      </c>
      <c r="P28" s="23">
        <f>IF($A28="","",IFERROR(IF(NOT(ISNUMBER($K28)),"CHECK",IF($L28="MARGIN",IF($N28&lt;=$K28,"PASS","FAIL"),IF($M28&lt;=$K28,"PASS","FAIL"))),"CHECK"))</f>
        <v/>
      </c>
      <c r="Q28" s="23">
        <f>IF($A28="","",IFERROR(INDEX('Ref_Tolerance'!$E$2:$E$9,MATCH($J28,'Ref_Tolerance'!$A$2:$A$9,0)),""))</f>
        <v/>
      </c>
      <c r="R28" s="23">
        <f>IF($A28="","",IFERROR(IF($O28=0,"CLEAR",IF($O28=1,"MFR DUE - MANAGER",IF($O28=2,"MFR DUE - FSS/CC SIGNATURE REQUIRED","INVESTIGATION + REPORT OF SURVEY; MSG/CC NOTIFIED"))),""))</f>
        <v/>
      </c>
      <c r="S28" s="23">
        <f>IF($A28="","",IF($O28=2,"WATCH - ONE MORE MISS TRIGGERS INVESTIGATION",""))</f>
        <v/>
      </c>
      <c r="T28" s="23">
        <f>IF($A28="","",IFERROR(IF(AND($O28&gt;=1,$F28&lt;&gt;"Y"),"MFR NOT SUBMITTED",IF(AND($O28&gt;=2,$G28&lt;&gt;"Y"),"FSS/CC SIGNATURE MISSING",IF(AND($O28&gt;=3,$H28&lt;&gt;"Y"),"INVESTIGATION NOT OPENED",""))),""))</f>
        <v/>
      </c>
      <c r="U28" s="25">
        <f>IF($A28="",0,IFERROR(MATCH($B28,'Ref_Calendar'!$A$2:$A$500,0),0))</f>
        <v/>
      </c>
      <c r="V28" s="25">
        <f>IF($A28="",0,IFERROR(SUMPRODUCT(MAX(($A$8:$A$307=$A28)*($P$8:$P$307="PASS")*($U$8:$U$307&lt;=$U28)*$U$8:$U$307)),0))</f>
        <v/>
      </c>
      <c r="W28" s="25">
        <f>IF($A28="","",IFERROR(INDEX('Ref_Crosswalk'!$E$2:$E$500,MATCH($A28,'Ref_Crosswalk'!$A$2:$A$500,0)),""))</f>
        <v/>
      </c>
      <c r="X28" s="25">
        <f>IF($A28="","",IFERROR(INDEX('Ref_Crosswalk'!$C$2:$C$500,MATCH($A28,'Ref_Crosswalk'!$A$2:$A$500,0)),""))</f>
        <v/>
      </c>
      <c r="Y28" s="25">
        <f>IF($A28="",0,IF(AND(OR('Out_Dashboard'!$C$5="",$W28='Out_Dashboard'!$C$5),OR('Out_Dashboard'!$C$6="",$X28='Out_Dashboard'!$C$6),OR('Out_Dashboard'!$C$7="",$B28='Out_Dashboard'!$C$7)),1,0))</f>
        <v/>
      </c>
      <c r="Z28" s="25">
        <f>IF(AND($A28&lt;&gt;"",$S28&lt;&gt;"",$Y28=1),SUMPRODUCT(($A$8:$A28&lt;&gt;"")*($S$8:$S28&lt;&gt;"")*($Y$8:$Y28=1)),"")</f>
        <v/>
      </c>
      <c r="AA28" s="25">
        <f>IF(AND($A28&lt;&gt;"",$T28&lt;&gt;"",$Y28=1),SUMPRODUCT(($A$8:$A28&lt;&gt;"")*($T$8:$T28&lt;&gt;"")*($Y$8:$Y28=1)),"")</f>
        <v/>
      </c>
    </row>
    <row r="29">
      <c r="A29" s="13" t="n"/>
      <c r="B29" s="13" t="n"/>
      <c r="C29" s="26" t="n"/>
      <c r="D29" s="26" t="n"/>
      <c r="E29" s="26" t="n"/>
      <c r="F29" s="13" t="n"/>
      <c r="G29" s="13" t="n"/>
      <c r="H29" s="13" t="n"/>
      <c r="I29" s="13" t="n"/>
      <c r="J29" s="23">
        <f>IF($A29="","",IFERROR(INDEX('Ref_Crosswalk'!$F$2:$F$500,MATCH($A29,'Ref_Crosswalk'!$A$2:$A$500,0)),"UNKNOWN"))</f>
        <v/>
      </c>
      <c r="K29" s="24">
        <f>IF($A29="","",IFERROR(INDEX('Ref_Tolerance'!$B$2:$B$9,MATCH($J29,'Ref_Tolerance'!$A$2:$A$9,0)),""))</f>
        <v/>
      </c>
      <c r="L29" s="23">
        <f>IF($A29="","",IFERROR(INDEX('Ref_Tolerance'!$D$2:$D$9,MATCH($J29,'Ref_Tolerance'!$A$2:$A$9,0)),""))</f>
        <v/>
      </c>
      <c r="M29" s="24">
        <f>IF($A29="","",IFERROR(ABS(N($D29))/N($C29),0))</f>
        <v/>
      </c>
      <c r="N29" s="24">
        <f>IF($A29="","",IFERROR(N($E29)/N($C29),0))</f>
        <v/>
      </c>
      <c r="O29" s="23">
        <f>IF($A29="",0,IFERROR(SUMPRODUCT(($A$8:$A$307=$A29)*($P$8:$P$307="FAIL")*($U$8:$U$307&gt;$V29)*($U$8:$U$307&lt;=$U29)),0))</f>
        <v/>
      </c>
      <c r="P29" s="23">
        <f>IF($A29="","",IFERROR(IF(NOT(ISNUMBER($K29)),"CHECK",IF($L29="MARGIN",IF($N29&lt;=$K29,"PASS","FAIL"),IF($M29&lt;=$K29,"PASS","FAIL"))),"CHECK"))</f>
        <v/>
      </c>
      <c r="Q29" s="23">
        <f>IF($A29="","",IFERROR(INDEX('Ref_Tolerance'!$E$2:$E$9,MATCH($J29,'Ref_Tolerance'!$A$2:$A$9,0)),""))</f>
        <v/>
      </c>
      <c r="R29" s="23">
        <f>IF($A29="","",IFERROR(IF($O29=0,"CLEAR",IF($O29=1,"MFR DUE - MANAGER",IF($O29=2,"MFR DUE - FSS/CC SIGNATURE REQUIRED","INVESTIGATION + REPORT OF SURVEY; MSG/CC NOTIFIED"))),""))</f>
        <v/>
      </c>
      <c r="S29" s="23">
        <f>IF($A29="","",IF($O29=2,"WATCH - ONE MORE MISS TRIGGERS INVESTIGATION",""))</f>
        <v/>
      </c>
      <c r="T29" s="23">
        <f>IF($A29="","",IFERROR(IF(AND($O29&gt;=1,$F29&lt;&gt;"Y"),"MFR NOT SUBMITTED",IF(AND($O29&gt;=2,$G29&lt;&gt;"Y"),"FSS/CC SIGNATURE MISSING",IF(AND($O29&gt;=3,$H29&lt;&gt;"Y"),"INVESTIGATION NOT OPENED",""))),""))</f>
        <v/>
      </c>
      <c r="U29" s="25">
        <f>IF($A29="",0,IFERROR(MATCH($B29,'Ref_Calendar'!$A$2:$A$500,0),0))</f>
        <v/>
      </c>
      <c r="V29" s="25">
        <f>IF($A29="",0,IFERROR(SUMPRODUCT(MAX(($A$8:$A$307=$A29)*($P$8:$P$307="PASS")*($U$8:$U$307&lt;=$U29)*$U$8:$U$307)),0))</f>
        <v/>
      </c>
      <c r="W29" s="25">
        <f>IF($A29="","",IFERROR(INDEX('Ref_Crosswalk'!$E$2:$E$500,MATCH($A29,'Ref_Crosswalk'!$A$2:$A$500,0)),""))</f>
        <v/>
      </c>
      <c r="X29" s="25">
        <f>IF($A29="","",IFERROR(INDEX('Ref_Crosswalk'!$C$2:$C$500,MATCH($A29,'Ref_Crosswalk'!$A$2:$A$500,0)),""))</f>
        <v/>
      </c>
      <c r="Y29" s="25">
        <f>IF($A29="",0,IF(AND(OR('Out_Dashboard'!$C$5="",$W29='Out_Dashboard'!$C$5),OR('Out_Dashboard'!$C$6="",$X29='Out_Dashboard'!$C$6),OR('Out_Dashboard'!$C$7="",$B29='Out_Dashboard'!$C$7)),1,0))</f>
        <v/>
      </c>
      <c r="Z29" s="25">
        <f>IF(AND($A29&lt;&gt;"",$S29&lt;&gt;"",$Y29=1),SUMPRODUCT(($A$8:$A29&lt;&gt;"")*($S$8:$S29&lt;&gt;"")*($Y$8:$Y29=1)),"")</f>
        <v/>
      </c>
      <c r="AA29" s="25">
        <f>IF(AND($A29&lt;&gt;"",$T29&lt;&gt;"",$Y29=1),SUMPRODUCT(($A$8:$A29&lt;&gt;"")*($T$8:$T29&lt;&gt;"")*($Y$8:$Y29=1)),"")</f>
        <v/>
      </c>
    </row>
    <row r="30">
      <c r="A30" s="13" t="n"/>
      <c r="B30" s="13" t="n"/>
      <c r="C30" s="26" t="n"/>
      <c r="D30" s="26" t="n"/>
      <c r="E30" s="26" t="n"/>
      <c r="F30" s="13" t="n"/>
      <c r="G30" s="13" t="n"/>
      <c r="H30" s="13" t="n"/>
      <c r="I30" s="13" t="n"/>
      <c r="J30" s="23">
        <f>IF($A30="","",IFERROR(INDEX('Ref_Crosswalk'!$F$2:$F$500,MATCH($A30,'Ref_Crosswalk'!$A$2:$A$500,0)),"UNKNOWN"))</f>
        <v/>
      </c>
      <c r="K30" s="24">
        <f>IF($A30="","",IFERROR(INDEX('Ref_Tolerance'!$B$2:$B$9,MATCH($J30,'Ref_Tolerance'!$A$2:$A$9,0)),""))</f>
        <v/>
      </c>
      <c r="L30" s="23">
        <f>IF($A30="","",IFERROR(INDEX('Ref_Tolerance'!$D$2:$D$9,MATCH($J30,'Ref_Tolerance'!$A$2:$A$9,0)),""))</f>
        <v/>
      </c>
      <c r="M30" s="24">
        <f>IF($A30="","",IFERROR(ABS(N($D30))/N($C30),0))</f>
        <v/>
      </c>
      <c r="N30" s="24">
        <f>IF($A30="","",IFERROR(N($E30)/N($C30),0))</f>
        <v/>
      </c>
      <c r="O30" s="23">
        <f>IF($A30="",0,IFERROR(SUMPRODUCT(($A$8:$A$307=$A30)*($P$8:$P$307="FAIL")*($U$8:$U$307&gt;$V30)*($U$8:$U$307&lt;=$U30)),0))</f>
        <v/>
      </c>
      <c r="P30" s="23">
        <f>IF($A30="","",IFERROR(IF(NOT(ISNUMBER($K30)),"CHECK",IF($L30="MARGIN",IF($N30&lt;=$K30,"PASS","FAIL"),IF($M30&lt;=$K30,"PASS","FAIL"))),"CHECK"))</f>
        <v/>
      </c>
      <c r="Q30" s="23">
        <f>IF($A30="","",IFERROR(INDEX('Ref_Tolerance'!$E$2:$E$9,MATCH($J30,'Ref_Tolerance'!$A$2:$A$9,0)),""))</f>
        <v/>
      </c>
      <c r="R30" s="23">
        <f>IF($A30="","",IFERROR(IF($O30=0,"CLEAR",IF($O30=1,"MFR DUE - MANAGER",IF($O30=2,"MFR DUE - FSS/CC SIGNATURE REQUIRED","INVESTIGATION + REPORT OF SURVEY; MSG/CC NOTIFIED"))),""))</f>
        <v/>
      </c>
      <c r="S30" s="23">
        <f>IF($A30="","",IF($O30=2,"WATCH - ONE MORE MISS TRIGGERS INVESTIGATION",""))</f>
        <v/>
      </c>
      <c r="T30" s="23">
        <f>IF($A30="","",IFERROR(IF(AND($O30&gt;=1,$F30&lt;&gt;"Y"),"MFR NOT SUBMITTED",IF(AND($O30&gt;=2,$G30&lt;&gt;"Y"),"FSS/CC SIGNATURE MISSING",IF(AND($O30&gt;=3,$H30&lt;&gt;"Y"),"INVESTIGATION NOT OPENED",""))),""))</f>
        <v/>
      </c>
      <c r="U30" s="25">
        <f>IF($A30="",0,IFERROR(MATCH($B30,'Ref_Calendar'!$A$2:$A$500,0),0))</f>
        <v/>
      </c>
      <c r="V30" s="25">
        <f>IF($A30="",0,IFERROR(SUMPRODUCT(MAX(($A$8:$A$307=$A30)*($P$8:$P$307="PASS")*($U$8:$U$307&lt;=$U30)*$U$8:$U$307)),0))</f>
        <v/>
      </c>
      <c r="W30" s="25">
        <f>IF($A30="","",IFERROR(INDEX('Ref_Crosswalk'!$E$2:$E$500,MATCH($A30,'Ref_Crosswalk'!$A$2:$A$500,0)),""))</f>
        <v/>
      </c>
      <c r="X30" s="25">
        <f>IF($A30="","",IFERROR(INDEX('Ref_Crosswalk'!$C$2:$C$500,MATCH($A30,'Ref_Crosswalk'!$A$2:$A$500,0)),""))</f>
        <v/>
      </c>
      <c r="Y30" s="25">
        <f>IF($A30="",0,IF(AND(OR('Out_Dashboard'!$C$5="",$W30='Out_Dashboard'!$C$5),OR('Out_Dashboard'!$C$6="",$X30='Out_Dashboard'!$C$6),OR('Out_Dashboard'!$C$7="",$B30='Out_Dashboard'!$C$7)),1,0))</f>
        <v/>
      </c>
      <c r="Z30" s="25">
        <f>IF(AND($A30&lt;&gt;"",$S30&lt;&gt;"",$Y30=1),SUMPRODUCT(($A$8:$A30&lt;&gt;"")*($S$8:$S30&lt;&gt;"")*($Y$8:$Y30=1)),"")</f>
        <v/>
      </c>
      <c r="AA30" s="25">
        <f>IF(AND($A30&lt;&gt;"",$T30&lt;&gt;"",$Y30=1),SUMPRODUCT(($A$8:$A30&lt;&gt;"")*($T$8:$T30&lt;&gt;"")*($Y$8:$Y30=1)),"")</f>
        <v/>
      </c>
    </row>
    <row r="31">
      <c r="A31" s="13" t="n"/>
      <c r="B31" s="13" t="n"/>
      <c r="C31" s="26" t="n"/>
      <c r="D31" s="26" t="n"/>
      <c r="E31" s="26" t="n"/>
      <c r="F31" s="13" t="n"/>
      <c r="G31" s="13" t="n"/>
      <c r="H31" s="13" t="n"/>
      <c r="I31" s="13" t="n"/>
      <c r="J31" s="23">
        <f>IF($A31="","",IFERROR(INDEX('Ref_Crosswalk'!$F$2:$F$500,MATCH($A31,'Ref_Crosswalk'!$A$2:$A$500,0)),"UNKNOWN"))</f>
        <v/>
      </c>
      <c r="K31" s="24">
        <f>IF($A31="","",IFERROR(INDEX('Ref_Tolerance'!$B$2:$B$9,MATCH($J31,'Ref_Tolerance'!$A$2:$A$9,0)),""))</f>
        <v/>
      </c>
      <c r="L31" s="23">
        <f>IF($A31="","",IFERROR(INDEX('Ref_Tolerance'!$D$2:$D$9,MATCH($J31,'Ref_Tolerance'!$A$2:$A$9,0)),""))</f>
        <v/>
      </c>
      <c r="M31" s="24">
        <f>IF($A31="","",IFERROR(ABS(N($D31))/N($C31),0))</f>
        <v/>
      </c>
      <c r="N31" s="24">
        <f>IF($A31="","",IFERROR(N($E31)/N($C31),0))</f>
        <v/>
      </c>
      <c r="O31" s="23">
        <f>IF($A31="",0,IFERROR(SUMPRODUCT(($A$8:$A$307=$A31)*($P$8:$P$307="FAIL")*($U$8:$U$307&gt;$V31)*($U$8:$U$307&lt;=$U31)),0))</f>
        <v/>
      </c>
      <c r="P31" s="23">
        <f>IF($A31="","",IFERROR(IF(NOT(ISNUMBER($K31)),"CHECK",IF($L31="MARGIN",IF($N31&lt;=$K31,"PASS","FAIL"),IF($M31&lt;=$K31,"PASS","FAIL"))),"CHECK"))</f>
        <v/>
      </c>
      <c r="Q31" s="23">
        <f>IF($A31="","",IFERROR(INDEX('Ref_Tolerance'!$E$2:$E$9,MATCH($J31,'Ref_Tolerance'!$A$2:$A$9,0)),""))</f>
        <v/>
      </c>
      <c r="R31" s="23">
        <f>IF($A31="","",IFERROR(IF($O31=0,"CLEAR",IF($O31=1,"MFR DUE - MANAGER",IF($O31=2,"MFR DUE - FSS/CC SIGNATURE REQUIRED","INVESTIGATION + REPORT OF SURVEY; MSG/CC NOTIFIED"))),""))</f>
        <v/>
      </c>
      <c r="S31" s="23">
        <f>IF($A31="","",IF($O31=2,"WATCH - ONE MORE MISS TRIGGERS INVESTIGATION",""))</f>
        <v/>
      </c>
      <c r="T31" s="23">
        <f>IF($A31="","",IFERROR(IF(AND($O31&gt;=1,$F31&lt;&gt;"Y"),"MFR NOT SUBMITTED",IF(AND($O31&gt;=2,$G31&lt;&gt;"Y"),"FSS/CC SIGNATURE MISSING",IF(AND($O31&gt;=3,$H31&lt;&gt;"Y"),"INVESTIGATION NOT OPENED",""))),""))</f>
        <v/>
      </c>
      <c r="U31" s="25">
        <f>IF($A31="",0,IFERROR(MATCH($B31,'Ref_Calendar'!$A$2:$A$500,0),0))</f>
        <v/>
      </c>
      <c r="V31" s="25">
        <f>IF($A31="",0,IFERROR(SUMPRODUCT(MAX(($A$8:$A$307=$A31)*($P$8:$P$307="PASS")*($U$8:$U$307&lt;=$U31)*$U$8:$U$307)),0))</f>
        <v/>
      </c>
      <c r="W31" s="25">
        <f>IF($A31="","",IFERROR(INDEX('Ref_Crosswalk'!$E$2:$E$500,MATCH($A31,'Ref_Crosswalk'!$A$2:$A$500,0)),""))</f>
        <v/>
      </c>
      <c r="X31" s="25">
        <f>IF($A31="","",IFERROR(INDEX('Ref_Crosswalk'!$C$2:$C$500,MATCH($A31,'Ref_Crosswalk'!$A$2:$A$500,0)),""))</f>
        <v/>
      </c>
      <c r="Y31" s="25">
        <f>IF($A31="",0,IF(AND(OR('Out_Dashboard'!$C$5="",$W31='Out_Dashboard'!$C$5),OR('Out_Dashboard'!$C$6="",$X31='Out_Dashboard'!$C$6),OR('Out_Dashboard'!$C$7="",$B31='Out_Dashboard'!$C$7)),1,0))</f>
        <v/>
      </c>
      <c r="Z31" s="25">
        <f>IF(AND($A31&lt;&gt;"",$S31&lt;&gt;"",$Y31=1),SUMPRODUCT(($A$8:$A31&lt;&gt;"")*($S$8:$S31&lt;&gt;"")*($Y$8:$Y31=1)),"")</f>
        <v/>
      </c>
      <c r="AA31" s="25">
        <f>IF(AND($A31&lt;&gt;"",$T31&lt;&gt;"",$Y31=1),SUMPRODUCT(($A$8:$A31&lt;&gt;"")*($T$8:$T31&lt;&gt;"")*($Y$8:$Y31=1)),"")</f>
        <v/>
      </c>
    </row>
    <row r="32">
      <c r="A32" s="13" t="n"/>
      <c r="B32" s="13" t="n"/>
      <c r="C32" s="26" t="n"/>
      <c r="D32" s="26" t="n"/>
      <c r="E32" s="26" t="n"/>
      <c r="F32" s="13" t="n"/>
      <c r="G32" s="13" t="n"/>
      <c r="H32" s="13" t="n"/>
      <c r="I32" s="13" t="n"/>
      <c r="J32" s="23">
        <f>IF($A32="","",IFERROR(INDEX('Ref_Crosswalk'!$F$2:$F$500,MATCH($A32,'Ref_Crosswalk'!$A$2:$A$500,0)),"UNKNOWN"))</f>
        <v/>
      </c>
      <c r="K32" s="24">
        <f>IF($A32="","",IFERROR(INDEX('Ref_Tolerance'!$B$2:$B$9,MATCH($J32,'Ref_Tolerance'!$A$2:$A$9,0)),""))</f>
        <v/>
      </c>
      <c r="L32" s="23">
        <f>IF($A32="","",IFERROR(INDEX('Ref_Tolerance'!$D$2:$D$9,MATCH($J32,'Ref_Tolerance'!$A$2:$A$9,0)),""))</f>
        <v/>
      </c>
      <c r="M32" s="24">
        <f>IF($A32="","",IFERROR(ABS(N($D32))/N($C32),0))</f>
        <v/>
      </c>
      <c r="N32" s="24">
        <f>IF($A32="","",IFERROR(N($E32)/N($C32),0))</f>
        <v/>
      </c>
      <c r="O32" s="23">
        <f>IF($A32="",0,IFERROR(SUMPRODUCT(($A$8:$A$307=$A32)*($P$8:$P$307="FAIL")*($U$8:$U$307&gt;$V32)*($U$8:$U$307&lt;=$U32)),0))</f>
        <v/>
      </c>
      <c r="P32" s="23">
        <f>IF($A32="","",IFERROR(IF(NOT(ISNUMBER($K32)),"CHECK",IF($L32="MARGIN",IF($N32&lt;=$K32,"PASS","FAIL"),IF($M32&lt;=$K32,"PASS","FAIL"))),"CHECK"))</f>
        <v/>
      </c>
      <c r="Q32" s="23">
        <f>IF($A32="","",IFERROR(INDEX('Ref_Tolerance'!$E$2:$E$9,MATCH($J32,'Ref_Tolerance'!$A$2:$A$9,0)),""))</f>
        <v/>
      </c>
      <c r="R32" s="23">
        <f>IF($A32="","",IFERROR(IF($O32=0,"CLEAR",IF($O32=1,"MFR DUE - MANAGER",IF($O32=2,"MFR DUE - FSS/CC SIGNATURE REQUIRED","INVESTIGATION + REPORT OF SURVEY; MSG/CC NOTIFIED"))),""))</f>
        <v/>
      </c>
      <c r="S32" s="23">
        <f>IF($A32="","",IF($O32=2,"WATCH - ONE MORE MISS TRIGGERS INVESTIGATION",""))</f>
        <v/>
      </c>
      <c r="T32" s="23">
        <f>IF($A32="","",IFERROR(IF(AND($O32&gt;=1,$F32&lt;&gt;"Y"),"MFR NOT SUBMITTED",IF(AND($O32&gt;=2,$G32&lt;&gt;"Y"),"FSS/CC SIGNATURE MISSING",IF(AND($O32&gt;=3,$H32&lt;&gt;"Y"),"INVESTIGATION NOT OPENED",""))),""))</f>
        <v/>
      </c>
      <c r="U32" s="25">
        <f>IF($A32="",0,IFERROR(MATCH($B32,'Ref_Calendar'!$A$2:$A$500,0),0))</f>
        <v/>
      </c>
      <c r="V32" s="25">
        <f>IF($A32="",0,IFERROR(SUMPRODUCT(MAX(($A$8:$A$307=$A32)*($P$8:$P$307="PASS")*($U$8:$U$307&lt;=$U32)*$U$8:$U$307)),0))</f>
        <v/>
      </c>
      <c r="W32" s="25">
        <f>IF($A32="","",IFERROR(INDEX('Ref_Crosswalk'!$E$2:$E$500,MATCH($A32,'Ref_Crosswalk'!$A$2:$A$500,0)),""))</f>
        <v/>
      </c>
      <c r="X32" s="25">
        <f>IF($A32="","",IFERROR(INDEX('Ref_Crosswalk'!$C$2:$C$500,MATCH($A32,'Ref_Crosswalk'!$A$2:$A$500,0)),""))</f>
        <v/>
      </c>
      <c r="Y32" s="25">
        <f>IF($A32="",0,IF(AND(OR('Out_Dashboard'!$C$5="",$W32='Out_Dashboard'!$C$5),OR('Out_Dashboard'!$C$6="",$X32='Out_Dashboard'!$C$6),OR('Out_Dashboard'!$C$7="",$B32='Out_Dashboard'!$C$7)),1,0))</f>
        <v/>
      </c>
      <c r="Z32" s="25">
        <f>IF(AND($A32&lt;&gt;"",$S32&lt;&gt;"",$Y32=1),SUMPRODUCT(($A$8:$A32&lt;&gt;"")*($S$8:$S32&lt;&gt;"")*($Y$8:$Y32=1)),"")</f>
        <v/>
      </c>
      <c r="AA32" s="25">
        <f>IF(AND($A32&lt;&gt;"",$T32&lt;&gt;"",$Y32=1),SUMPRODUCT(($A$8:$A32&lt;&gt;"")*($T$8:$T32&lt;&gt;"")*($Y$8:$Y32=1)),"")</f>
        <v/>
      </c>
    </row>
    <row r="33">
      <c r="A33" s="13" t="n"/>
      <c r="B33" s="13" t="n"/>
      <c r="C33" s="26" t="n"/>
      <c r="D33" s="26" t="n"/>
      <c r="E33" s="26" t="n"/>
      <c r="F33" s="13" t="n"/>
      <c r="G33" s="13" t="n"/>
      <c r="H33" s="13" t="n"/>
      <c r="I33" s="13" t="n"/>
      <c r="J33" s="23">
        <f>IF($A33="","",IFERROR(INDEX('Ref_Crosswalk'!$F$2:$F$500,MATCH($A33,'Ref_Crosswalk'!$A$2:$A$500,0)),"UNKNOWN"))</f>
        <v/>
      </c>
      <c r="K33" s="24">
        <f>IF($A33="","",IFERROR(INDEX('Ref_Tolerance'!$B$2:$B$9,MATCH($J33,'Ref_Tolerance'!$A$2:$A$9,0)),""))</f>
        <v/>
      </c>
      <c r="L33" s="23">
        <f>IF($A33="","",IFERROR(INDEX('Ref_Tolerance'!$D$2:$D$9,MATCH($J33,'Ref_Tolerance'!$A$2:$A$9,0)),""))</f>
        <v/>
      </c>
      <c r="M33" s="24">
        <f>IF($A33="","",IFERROR(ABS(N($D33))/N($C33),0))</f>
        <v/>
      </c>
      <c r="N33" s="24">
        <f>IF($A33="","",IFERROR(N($E33)/N($C33),0))</f>
        <v/>
      </c>
      <c r="O33" s="23">
        <f>IF($A33="",0,IFERROR(SUMPRODUCT(($A$8:$A$307=$A33)*($P$8:$P$307="FAIL")*($U$8:$U$307&gt;$V33)*($U$8:$U$307&lt;=$U33)),0))</f>
        <v/>
      </c>
      <c r="P33" s="23">
        <f>IF($A33="","",IFERROR(IF(NOT(ISNUMBER($K33)),"CHECK",IF($L33="MARGIN",IF($N33&lt;=$K33,"PASS","FAIL"),IF($M33&lt;=$K33,"PASS","FAIL"))),"CHECK"))</f>
        <v/>
      </c>
      <c r="Q33" s="23">
        <f>IF($A33="","",IFERROR(INDEX('Ref_Tolerance'!$E$2:$E$9,MATCH($J33,'Ref_Tolerance'!$A$2:$A$9,0)),""))</f>
        <v/>
      </c>
      <c r="R33" s="23">
        <f>IF($A33="","",IFERROR(IF($O33=0,"CLEAR",IF($O33=1,"MFR DUE - MANAGER",IF($O33=2,"MFR DUE - FSS/CC SIGNATURE REQUIRED","INVESTIGATION + REPORT OF SURVEY; MSG/CC NOTIFIED"))),""))</f>
        <v/>
      </c>
      <c r="S33" s="23">
        <f>IF($A33="","",IF($O33=2,"WATCH - ONE MORE MISS TRIGGERS INVESTIGATION",""))</f>
        <v/>
      </c>
      <c r="T33" s="23">
        <f>IF($A33="","",IFERROR(IF(AND($O33&gt;=1,$F33&lt;&gt;"Y"),"MFR NOT SUBMITTED",IF(AND($O33&gt;=2,$G33&lt;&gt;"Y"),"FSS/CC SIGNATURE MISSING",IF(AND($O33&gt;=3,$H33&lt;&gt;"Y"),"INVESTIGATION NOT OPENED",""))),""))</f>
        <v/>
      </c>
      <c r="U33" s="25">
        <f>IF($A33="",0,IFERROR(MATCH($B33,'Ref_Calendar'!$A$2:$A$500,0),0))</f>
        <v/>
      </c>
      <c r="V33" s="25">
        <f>IF($A33="",0,IFERROR(SUMPRODUCT(MAX(($A$8:$A$307=$A33)*($P$8:$P$307="PASS")*($U$8:$U$307&lt;=$U33)*$U$8:$U$307)),0))</f>
        <v/>
      </c>
      <c r="W33" s="25">
        <f>IF($A33="","",IFERROR(INDEX('Ref_Crosswalk'!$E$2:$E$500,MATCH($A33,'Ref_Crosswalk'!$A$2:$A$500,0)),""))</f>
        <v/>
      </c>
      <c r="X33" s="25">
        <f>IF($A33="","",IFERROR(INDEX('Ref_Crosswalk'!$C$2:$C$500,MATCH($A33,'Ref_Crosswalk'!$A$2:$A$500,0)),""))</f>
        <v/>
      </c>
      <c r="Y33" s="25">
        <f>IF($A33="",0,IF(AND(OR('Out_Dashboard'!$C$5="",$W33='Out_Dashboard'!$C$5),OR('Out_Dashboard'!$C$6="",$X33='Out_Dashboard'!$C$6),OR('Out_Dashboard'!$C$7="",$B33='Out_Dashboard'!$C$7)),1,0))</f>
        <v/>
      </c>
      <c r="Z33" s="25">
        <f>IF(AND($A33&lt;&gt;"",$S33&lt;&gt;"",$Y33=1),SUMPRODUCT(($A$8:$A33&lt;&gt;"")*($S$8:$S33&lt;&gt;"")*($Y$8:$Y33=1)),"")</f>
        <v/>
      </c>
      <c r="AA33" s="25">
        <f>IF(AND($A33&lt;&gt;"",$T33&lt;&gt;"",$Y33=1),SUMPRODUCT(($A$8:$A33&lt;&gt;"")*($T$8:$T33&lt;&gt;"")*($Y$8:$Y33=1)),"")</f>
        <v/>
      </c>
    </row>
    <row r="34">
      <c r="A34" s="13" t="n"/>
      <c r="B34" s="13" t="n"/>
      <c r="C34" s="26" t="n"/>
      <c r="D34" s="26" t="n"/>
      <c r="E34" s="26" t="n"/>
      <c r="F34" s="13" t="n"/>
      <c r="G34" s="13" t="n"/>
      <c r="H34" s="13" t="n"/>
      <c r="I34" s="13" t="n"/>
      <c r="J34" s="23">
        <f>IF($A34="","",IFERROR(INDEX('Ref_Crosswalk'!$F$2:$F$500,MATCH($A34,'Ref_Crosswalk'!$A$2:$A$500,0)),"UNKNOWN"))</f>
        <v/>
      </c>
      <c r="K34" s="24">
        <f>IF($A34="","",IFERROR(INDEX('Ref_Tolerance'!$B$2:$B$9,MATCH($J34,'Ref_Tolerance'!$A$2:$A$9,0)),""))</f>
        <v/>
      </c>
      <c r="L34" s="23">
        <f>IF($A34="","",IFERROR(INDEX('Ref_Tolerance'!$D$2:$D$9,MATCH($J34,'Ref_Tolerance'!$A$2:$A$9,0)),""))</f>
        <v/>
      </c>
      <c r="M34" s="24">
        <f>IF($A34="","",IFERROR(ABS(N($D34))/N($C34),0))</f>
        <v/>
      </c>
      <c r="N34" s="24">
        <f>IF($A34="","",IFERROR(N($E34)/N($C34),0))</f>
        <v/>
      </c>
      <c r="O34" s="23">
        <f>IF($A34="",0,IFERROR(SUMPRODUCT(($A$8:$A$307=$A34)*($P$8:$P$307="FAIL")*($U$8:$U$307&gt;$V34)*($U$8:$U$307&lt;=$U34)),0))</f>
        <v/>
      </c>
      <c r="P34" s="23">
        <f>IF($A34="","",IFERROR(IF(NOT(ISNUMBER($K34)),"CHECK",IF($L34="MARGIN",IF($N34&lt;=$K34,"PASS","FAIL"),IF($M34&lt;=$K34,"PASS","FAIL"))),"CHECK"))</f>
        <v/>
      </c>
      <c r="Q34" s="23">
        <f>IF($A34="","",IFERROR(INDEX('Ref_Tolerance'!$E$2:$E$9,MATCH($J34,'Ref_Tolerance'!$A$2:$A$9,0)),""))</f>
        <v/>
      </c>
      <c r="R34" s="23">
        <f>IF($A34="","",IFERROR(IF($O34=0,"CLEAR",IF($O34=1,"MFR DUE - MANAGER",IF($O34=2,"MFR DUE - FSS/CC SIGNATURE REQUIRED","INVESTIGATION + REPORT OF SURVEY; MSG/CC NOTIFIED"))),""))</f>
        <v/>
      </c>
      <c r="S34" s="23">
        <f>IF($A34="","",IF($O34=2,"WATCH - ONE MORE MISS TRIGGERS INVESTIGATION",""))</f>
        <v/>
      </c>
      <c r="T34" s="23">
        <f>IF($A34="","",IFERROR(IF(AND($O34&gt;=1,$F34&lt;&gt;"Y"),"MFR NOT SUBMITTED",IF(AND($O34&gt;=2,$G34&lt;&gt;"Y"),"FSS/CC SIGNATURE MISSING",IF(AND($O34&gt;=3,$H34&lt;&gt;"Y"),"INVESTIGATION NOT OPENED",""))),""))</f>
        <v/>
      </c>
      <c r="U34" s="25">
        <f>IF($A34="",0,IFERROR(MATCH($B34,'Ref_Calendar'!$A$2:$A$500,0),0))</f>
        <v/>
      </c>
      <c r="V34" s="25">
        <f>IF($A34="",0,IFERROR(SUMPRODUCT(MAX(($A$8:$A$307=$A34)*($P$8:$P$307="PASS")*($U$8:$U$307&lt;=$U34)*$U$8:$U$307)),0))</f>
        <v/>
      </c>
      <c r="W34" s="25">
        <f>IF($A34="","",IFERROR(INDEX('Ref_Crosswalk'!$E$2:$E$500,MATCH($A34,'Ref_Crosswalk'!$A$2:$A$500,0)),""))</f>
        <v/>
      </c>
      <c r="X34" s="25">
        <f>IF($A34="","",IFERROR(INDEX('Ref_Crosswalk'!$C$2:$C$500,MATCH($A34,'Ref_Crosswalk'!$A$2:$A$500,0)),""))</f>
        <v/>
      </c>
      <c r="Y34" s="25">
        <f>IF($A34="",0,IF(AND(OR('Out_Dashboard'!$C$5="",$W34='Out_Dashboard'!$C$5),OR('Out_Dashboard'!$C$6="",$X34='Out_Dashboard'!$C$6),OR('Out_Dashboard'!$C$7="",$B34='Out_Dashboard'!$C$7)),1,0))</f>
        <v/>
      </c>
      <c r="Z34" s="25">
        <f>IF(AND($A34&lt;&gt;"",$S34&lt;&gt;"",$Y34=1),SUMPRODUCT(($A$8:$A34&lt;&gt;"")*($S$8:$S34&lt;&gt;"")*($Y$8:$Y34=1)),"")</f>
        <v/>
      </c>
      <c r="AA34" s="25">
        <f>IF(AND($A34&lt;&gt;"",$T34&lt;&gt;"",$Y34=1),SUMPRODUCT(($A$8:$A34&lt;&gt;"")*($T$8:$T34&lt;&gt;"")*($Y$8:$Y34=1)),"")</f>
        <v/>
      </c>
    </row>
    <row r="35">
      <c r="A35" s="13" t="n"/>
      <c r="B35" s="13" t="n"/>
      <c r="C35" s="26" t="n"/>
      <c r="D35" s="26" t="n"/>
      <c r="E35" s="26" t="n"/>
      <c r="F35" s="13" t="n"/>
      <c r="G35" s="13" t="n"/>
      <c r="H35" s="13" t="n"/>
      <c r="I35" s="13" t="n"/>
      <c r="J35" s="23">
        <f>IF($A35="","",IFERROR(INDEX('Ref_Crosswalk'!$F$2:$F$500,MATCH($A35,'Ref_Crosswalk'!$A$2:$A$500,0)),"UNKNOWN"))</f>
        <v/>
      </c>
      <c r="K35" s="24">
        <f>IF($A35="","",IFERROR(INDEX('Ref_Tolerance'!$B$2:$B$9,MATCH($J35,'Ref_Tolerance'!$A$2:$A$9,0)),""))</f>
        <v/>
      </c>
      <c r="L35" s="23">
        <f>IF($A35="","",IFERROR(INDEX('Ref_Tolerance'!$D$2:$D$9,MATCH($J35,'Ref_Tolerance'!$A$2:$A$9,0)),""))</f>
        <v/>
      </c>
      <c r="M35" s="24">
        <f>IF($A35="","",IFERROR(ABS(N($D35))/N($C35),0))</f>
        <v/>
      </c>
      <c r="N35" s="24">
        <f>IF($A35="","",IFERROR(N($E35)/N($C35),0))</f>
        <v/>
      </c>
      <c r="O35" s="23">
        <f>IF($A35="",0,IFERROR(SUMPRODUCT(($A$8:$A$307=$A35)*($P$8:$P$307="FAIL")*($U$8:$U$307&gt;$V35)*($U$8:$U$307&lt;=$U35)),0))</f>
        <v/>
      </c>
      <c r="P35" s="23">
        <f>IF($A35="","",IFERROR(IF(NOT(ISNUMBER($K35)),"CHECK",IF($L35="MARGIN",IF($N35&lt;=$K35,"PASS","FAIL"),IF($M35&lt;=$K35,"PASS","FAIL"))),"CHECK"))</f>
        <v/>
      </c>
      <c r="Q35" s="23">
        <f>IF($A35="","",IFERROR(INDEX('Ref_Tolerance'!$E$2:$E$9,MATCH($J35,'Ref_Tolerance'!$A$2:$A$9,0)),""))</f>
        <v/>
      </c>
      <c r="R35" s="23">
        <f>IF($A35="","",IFERROR(IF($O35=0,"CLEAR",IF($O35=1,"MFR DUE - MANAGER",IF($O35=2,"MFR DUE - FSS/CC SIGNATURE REQUIRED","INVESTIGATION + REPORT OF SURVEY; MSG/CC NOTIFIED"))),""))</f>
        <v/>
      </c>
      <c r="S35" s="23">
        <f>IF($A35="","",IF($O35=2,"WATCH - ONE MORE MISS TRIGGERS INVESTIGATION",""))</f>
        <v/>
      </c>
      <c r="T35" s="23">
        <f>IF($A35="","",IFERROR(IF(AND($O35&gt;=1,$F35&lt;&gt;"Y"),"MFR NOT SUBMITTED",IF(AND($O35&gt;=2,$G35&lt;&gt;"Y"),"FSS/CC SIGNATURE MISSING",IF(AND($O35&gt;=3,$H35&lt;&gt;"Y"),"INVESTIGATION NOT OPENED",""))),""))</f>
        <v/>
      </c>
      <c r="U35" s="25">
        <f>IF($A35="",0,IFERROR(MATCH($B35,'Ref_Calendar'!$A$2:$A$500,0),0))</f>
        <v/>
      </c>
      <c r="V35" s="25">
        <f>IF($A35="",0,IFERROR(SUMPRODUCT(MAX(($A$8:$A$307=$A35)*($P$8:$P$307="PASS")*($U$8:$U$307&lt;=$U35)*$U$8:$U$307)),0))</f>
        <v/>
      </c>
      <c r="W35" s="25">
        <f>IF($A35="","",IFERROR(INDEX('Ref_Crosswalk'!$E$2:$E$500,MATCH($A35,'Ref_Crosswalk'!$A$2:$A$500,0)),""))</f>
        <v/>
      </c>
      <c r="X35" s="25">
        <f>IF($A35="","",IFERROR(INDEX('Ref_Crosswalk'!$C$2:$C$500,MATCH($A35,'Ref_Crosswalk'!$A$2:$A$500,0)),""))</f>
        <v/>
      </c>
      <c r="Y35" s="25">
        <f>IF($A35="",0,IF(AND(OR('Out_Dashboard'!$C$5="",$W35='Out_Dashboard'!$C$5),OR('Out_Dashboard'!$C$6="",$X35='Out_Dashboard'!$C$6),OR('Out_Dashboard'!$C$7="",$B35='Out_Dashboard'!$C$7)),1,0))</f>
        <v/>
      </c>
      <c r="Z35" s="25">
        <f>IF(AND($A35&lt;&gt;"",$S35&lt;&gt;"",$Y35=1),SUMPRODUCT(($A$8:$A35&lt;&gt;"")*($S$8:$S35&lt;&gt;"")*($Y$8:$Y35=1)),"")</f>
        <v/>
      </c>
      <c r="AA35" s="25">
        <f>IF(AND($A35&lt;&gt;"",$T35&lt;&gt;"",$Y35=1),SUMPRODUCT(($A$8:$A35&lt;&gt;"")*($T$8:$T35&lt;&gt;"")*($Y$8:$Y35=1)),"")</f>
        <v/>
      </c>
    </row>
    <row r="36">
      <c r="A36" s="13" t="n"/>
      <c r="B36" s="13" t="n"/>
      <c r="C36" s="26" t="n"/>
      <c r="D36" s="26" t="n"/>
      <c r="E36" s="26" t="n"/>
      <c r="F36" s="13" t="n"/>
      <c r="G36" s="13" t="n"/>
      <c r="H36" s="13" t="n"/>
      <c r="I36" s="13" t="n"/>
      <c r="J36" s="23">
        <f>IF($A36="","",IFERROR(INDEX('Ref_Crosswalk'!$F$2:$F$500,MATCH($A36,'Ref_Crosswalk'!$A$2:$A$500,0)),"UNKNOWN"))</f>
        <v/>
      </c>
      <c r="K36" s="24">
        <f>IF($A36="","",IFERROR(INDEX('Ref_Tolerance'!$B$2:$B$9,MATCH($J36,'Ref_Tolerance'!$A$2:$A$9,0)),""))</f>
        <v/>
      </c>
      <c r="L36" s="23">
        <f>IF($A36="","",IFERROR(INDEX('Ref_Tolerance'!$D$2:$D$9,MATCH($J36,'Ref_Tolerance'!$A$2:$A$9,0)),""))</f>
        <v/>
      </c>
      <c r="M36" s="24">
        <f>IF($A36="","",IFERROR(ABS(N($D36))/N($C36),0))</f>
        <v/>
      </c>
      <c r="N36" s="24">
        <f>IF($A36="","",IFERROR(N($E36)/N($C36),0))</f>
        <v/>
      </c>
      <c r="O36" s="23">
        <f>IF($A36="",0,IFERROR(SUMPRODUCT(($A$8:$A$307=$A36)*($P$8:$P$307="FAIL")*($U$8:$U$307&gt;$V36)*($U$8:$U$307&lt;=$U36)),0))</f>
        <v/>
      </c>
      <c r="P36" s="23">
        <f>IF($A36="","",IFERROR(IF(NOT(ISNUMBER($K36)),"CHECK",IF($L36="MARGIN",IF($N36&lt;=$K36,"PASS","FAIL"),IF($M36&lt;=$K36,"PASS","FAIL"))),"CHECK"))</f>
        <v/>
      </c>
      <c r="Q36" s="23">
        <f>IF($A36="","",IFERROR(INDEX('Ref_Tolerance'!$E$2:$E$9,MATCH($J36,'Ref_Tolerance'!$A$2:$A$9,0)),""))</f>
        <v/>
      </c>
      <c r="R36" s="23">
        <f>IF($A36="","",IFERROR(IF($O36=0,"CLEAR",IF($O36=1,"MFR DUE - MANAGER",IF($O36=2,"MFR DUE - FSS/CC SIGNATURE REQUIRED","INVESTIGATION + REPORT OF SURVEY; MSG/CC NOTIFIED"))),""))</f>
        <v/>
      </c>
      <c r="S36" s="23">
        <f>IF($A36="","",IF($O36=2,"WATCH - ONE MORE MISS TRIGGERS INVESTIGATION",""))</f>
        <v/>
      </c>
      <c r="T36" s="23">
        <f>IF($A36="","",IFERROR(IF(AND($O36&gt;=1,$F36&lt;&gt;"Y"),"MFR NOT SUBMITTED",IF(AND($O36&gt;=2,$G36&lt;&gt;"Y"),"FSS/CC SIGNATURE MISSING",IF(AND($O36&gt;=3,$H36&lt;&gt;"Y"),"INVESTIGATION NOT OPENED",""))),""))</f>
        <v/>
      </c>
      <c r="U36" s="25">
        <f>IF($A36="",0,IFERROR(MATCH($B36,'Ref_Calendar'!$A$2:$A$500,0),0))</f>
        <v/>
      </c>
      <c r="V36" s="25">
        <f>IF($A36="",0,IFERROR(SUMPRODUCT(MAX(($A$8:$A$307=$A36)*($P$8:$P$307="PASS")*($U$8:$U$307&lt;=$U36)*$U$8:$U$307)),0))</f>
        <v/>
      </c>
      <c r="W36" s="25">
        <f>IF($A36="","",IFERROR(INDEX('Ref_Crosswalk'!$E$2:$E$500,MATCH($A36,'Ref_Crosswalk'!$A$2:$A$500,0)),""))</f>
        <v/>
      </c>
      <c r="X36" s="25">
        <f>IF($A36="","",IFERROR(INDEX('Ref_Crosswalk'!$C$2:$C$500,MATCH($A36,'Ref_Crosswalk'!$A$2:$A$500,0)),""))</f>
        <v/>
      </c>
      <c r="Y36" s="25">
        <f>IF($A36="",0,IF(AND(OR('Out_Dashboard'!$C$5="",$W36='Out_Dashboard'!$C$5),OR('Out_Dashboard'!$C$6="",$X36='Out_Dashboard'!$C$6),OR('Out_Dashboard'!$C$7="",$B36='Out_Dashboard'!$C$7)),1,0))</f>
        <v/>
      </c>
      <c r="Z36" s="25">
        <f>IF(AND($A36&lt;&gt;"",$S36&lt;&gt;"",$Y36=1),SUMPRODUCT(($A$8:$A36&lt;&gt;"")*($S$8:$S36&lt;&gt;"")*($Y$8:$Y36=1)),"")</f>
        <v/>
      </c>
      <c r="AA36" s="25">
        <f>IF(AND($A36&lt;&gt;"",$T36&lt;&gt;"",$Y36=1),SUMPRODUCT(($A$8:$A36&lt;&gt;"")*($T$8:$T36&lt;&gt;"")*($Y$8:$Y36=1)),"")</f>
        <v/>
      </c>
    </row>
    <row r="37">
      <c r="A37" s="13" t="n"/>
      <c r="B37" s="13" t="n"/>
      <c r="C37" s="26" t="n"/>
      <c r="D37" s="26" t="n"/>
      <c r="E37" s="26" t="n"/>
      <c r="F37" s="13" t="n"/>
      <c r="G37" s="13" t="n"/>
      <c r="H37" s="13" t="n"/>
      <c r="I37" s="13" t="n"/>
      <c r="J37" s="23">
        <f>IF($A37="","",IFERROR(INDEX('Ref_Crosswalk'!$F$2:$F$500,MATCH($A37,'Ref_Crosswalk'!$A$2:$A$500,0)),"UNKNOWN"))</f>
        <v/>
      </c>
      <c r="K37" s="24">
        <f>IF($A37="","",IFERROR(INDEX('Ref_Tolerance'!$B$2:$B$9,MATCH($J37,'Ref_Tolerance'!$A$2:$A$9,0)),""))</f>
        <v/>
      </c>
      <c r="L37" s="23">
        <f>IF($A37="","",IFERROR(INDEX('Ref_Tolerance'!$D$2:$D$9,MATCH($J37,'Ref_Tolerance'!$A$2:$A$9,0)),""))</f>
        <v/>
      </c>
      <c r="M37" s="24">
        <f>IF($A37="","",IFERROR(ABS(N($D37))/N($C37),0))</f>
        <v/>
      </c>
      <c r="N37" s="24">
        <f>IF($A37="","",IFERROR(N($E37)/N($C37),0))</f>
        <v/>
      </c>
      <c r="O37" s="23">
        <f>IF($A37="",0,IFERROR(SUMPRODUCT(($A$8:$A$307=$A37)*($P$8:$P$307="FAIL")*($U$8:$U$307&gt;$V37)*($U$8:$U$307&lt;=$U37)),0))</f>
        <v/>
      </c>
      <c r="P37" s="23">
        <f>IF($A37="","",IFERROR(IF(NOT(ISNUMBER($K37)),"CHECK",IF($L37="MARGIN",IF($N37&lt;=$K37,"PASS","FAIL"),IF($M37&lt;=$K37,"PASS","FAIL"))),"CHECK"))</f>
        <v/>
      </c>
      <c r="Q37" s="23">
        <f>IF($A37="","",IFERROR(INDEX('Ref_Tolerance'!$E$2:$E$9,MATCH($J37,'Ref_Tolerance'!$A$2:$A$9,0)),""))</f>
        <v/>
      </c>
      <c r="R37" s="23">
        <f>IF($A37="","",IFERROR(IF($O37=0,"CLEAR",IF($O37=1,"MFR DUE - MANAGER",IF($O37=2,"MFR DUE - FSS/CC SIGNATURE REQUIRED","INVESTIGATION + REPORT OF SURVEY; MSG/CC NOTIFIED"))),""))</f>
        <v/>
      </c>
      <c r="S37" s="23">
        <f>IF($A37="","",IF($O37=2,"WATCH - ONE MORE MISS TRIGGERS INVESTIGATION",""))</f>
        <v/>
      </c>
      <c r="T37" s="23">
        <f>IF($A37="","",IFERROR(IF(AND($O37&gt;=1,$F37&lt;&gt;"Y"),"MFR NOT SUBMITTED",IF(AND($O37&gt;=2,$G37&lt;&gt;"Y"),"FSS/CC SIGNATURE MISSING",IF(AND($O37&gt;=3,$H37&lt;&gt;"Y"),"INVESTIGATION NOT OPENED",""))),""))</f>
        <v/>
      </c>
      <c r="U37" s="25">
        <f>IF($A37="",0,IFERROR(MATCH($B37,'Ref_Calendar'!$A$2:$A$500,0),0))</f>
        <v/>
      </c>
      <c r="V37" s="25">
        <f>IF($A37="",0,IFERROR(SUMPRODUCT(MAX(($A$8:$A$307=$A37)*($P$8:$P$307="PASS")*($U$8:$U$307&lt;=$U37)*$U$8:$U$307)),0))</f>
        <v/>
      </c>
      <c r="W37" s="25">
        <f>IF($A37="","",IFERROR(INDEX('Ref_Crosswalk'!$E$2:$E$500,MATCH($A37,'Ref_Crosswalk'!$A$2:$A$500,0)),""))</f>
        <v/>
      </c>
      <c r="X37" s="25">
        <f>IF($A37="","",IFERROR(INDEX('Ref_Crosswalk'!$C$2:$C$500,MATCH($A37,'Ref_Crosswalk'!$A$2:$A$500,0)),""))</f>
        <v/>
      </c>
      <c r="Y37" s="25">
        <f>IF($A37="",0,IF(AND(OR('Out_Dashboard'!$C$5="",$W37='Out_Dashboard'!$C$5),OR('Out_Dashboard'!$C$6="",$X37='Out_Dashboard'!$C$6),OR('Out_Dashboard'!$C$7="",$B37='Out_Dashboard'!$C$7)),1,0))</f>
        <v/>
      </c>
      <c r="Z37" s="25">
        <f>IF(AND($A37&lt;&gt;"",$S37&lt;&gt;"",$Y37=1),SUMPRODUCT(($A$8:$A37&lt;&gt;"")*($S$8:$S37&lt;&gt;"")*($Y$8:$Y37=1)),"")</f>
        <v/>
      </c>
      <c r="AA37" s="25">
        <f>IF(AND($A37&lt;&gt;"",$T37&lt;&gt;"",$Y37=1),SUMPRODUCT(($A$8:$A37&lt;&gt;"")*($T$8:$T37&lt;&gt;"")*($Y$8:$Y37=1)),"")</f>
        <v/>
      </c>
    </row>
    <row r="38">
      <c r="A38" s="13" t="n"/>
      <c r="B38" s="13" t="n"/>
      <c r="C38" s="26" t="n"/>
      <c r="D38" s="26" t="n"/>
      <c r="E38" s="26" t="n"/>
      <c r="F38" s="13" t="n"/>
      <c r="G38" s="13" t="n"/>
      <c r="H38" s="13" t="n"/>
      <c r="I38" s="13" t="n"/>
      <c r="J38" s="23">
        <f>IF($A38="","",IFERROR(INDEX('Ref_Crosswalk'!$F$2:$F$500,MATCH($A38,'Ref_Crosswalk'!$A$2:$A$500,0)),"UNKNOWN"))</f>
        <v/>
      </c>
      <c r="K38" s="24">
        <f>IF($A38="","",IFERROR(INDEX('Ref_Tolerance'!$B$2:$B$9,MATCH($J38,'Ref_Tolerance'!$A$2:$A$9,0)),""))</f>
        <v/>
      </c>
      <c r="L38" s="23">
        <f>IF($A38="","",IFERROR(INDEX('Ref_Tolerance'!$D$2:$D$9,MATCH($J38,'Ref_Tolerance'!$A$2:$A$9,0)),""))</f>
        <v/>
      </c>
      <c r="M38" s="24">
        <f>IF($A38="","",IFERROR(ABS(N($D38))/N($C38),0))</f>
        <v/>
      </c>
      <c r="N38" s="24">
        <f>IF($A38="","",IFERROR(N($E38)/N($C38),0))</f>
        <v/>
      </c>
      <c r="O38" s="23">
        <f>IF($A38="",0,IFERROR(SUMPRODUCT(($A$8:$A$307=$A38)*($P$8:$P$307="FAIL")*($U$8:$U$307&gt;$V38)*($U$8:$U$307&lt;=$U38)),0))</f>
        <v/>
      </c>
      <c r="P38" s="23">
        <f>IF($A38="","",IFERROR(IF(NOT(ISNUMBER($K38)),"CHECK",IF($L38="MARGIN",IF($N38&lt;=$K38,"PASS","FAIL"),IF($M38&lt;=$K38,"PASS","FAIL"))),"CHECK"))</f>
        <v/>
      </c>
      <c r="Q38" s="23">
        <f>IF($A38="","",IFERROR(INDEX('Ref_Tolerance'!$E$2:$E$9,MATCH($J38,'Ref_Tolerance'!$A$2:$A$9,0)),""))</f>
        <v/>
      </c>
      <c r="R38" s="23">
        <f>IF($A38="","",IFERROR(IF($O38=0,"CLEAR",IF($O38=1,"MFR DUE - MANAGER",IF($O38=2,"MFR DUE - FSS/CC SIGNATURE REQUIRED","INVESTIGATION + REPORT OF SURVEY; MSG/CC NOTIFIED"))),""))</f>
        <v/>
      </c>
      <c r="S38" s="23">
        <f>IF($A38="","",IF($O38=2,"WATCH - ONE MORE MISS TRIGGERS INVESTIGATION",""))</f>
        <v/>
      </c>
      <c r="T38" s="23">
        <f>IF($A38="","",IFERROR(IF(AND($O38&gt;=1,$F38&lt;&gt;"Y"),"MFR NOT SUBMITTED",IF(AND($O38&gt;=2,$G38&lt;&gt;"Y"),"FSS/CC SIGNATURE MISSING",IF(AND($O38&gt;=3,$H38&lt;&gt;"Y"),"INVESTIGATION NOT OPENED",""))),""))</f>
        <v/>
      </c>
      <c r="U38" s="25">
        <f>IF($A38="",0,IFERROR(MATCH($B38,'Ref_Calendar'!$A$2:$A$500,0),0))</f>
        <v/>
      </c>
      <c r="V38" s="25">
        <f>IF($A38="",0,IFERROR(SUMPRODUCT(MAX(($A$8:$A$307=$A38)*($P$8:$P$307="PASS")*($U$8:$U$307&lt;=$U38)*$U$8:$U$307)),0))</f>
        <v/>
      </c>
      <c r="W38" s="25">
        <f>IF($A38="","",IFERROR(INDEX('Ref_Crosswalk'!$E$2:$E$500,MATCH($A38,'Ref_Crosswalk'!$A$2:$A$500,0)),""))</f>
        <v/>
      </c>
      <c r="X38" s="25">
        <f>IF($A38="","",IFERROR(INDEX('Ref_Crosswalk'!$C$2:$C$500,MATCH($A38,'Ref_Crosswalk'!$A$2:$A$500,0)),""))</f>
        <v/>
      </c>
      <c r="Y38" s="25">
        <f>IF($A38="",0,IF(AND(OR('Out_Dashboard'!$C$5="",$W38='Out_Dashboard'!$C$5),OR('Out_Dashboard'!$C$6="",$X38='Out_Dashboard'!$C$6),OR('Out_Dashboard'!$C$7="",$B38='Out_Dashboard'!$C$7)),1,0))</f>
        <v/>
      </c>
      <c r="Z38" s="25">
        <f>IF(AND($A38&lt;&gt;"",$S38&lt;&gt;"",$Y38=1),SUMPRODUCT(($A$8:$A38&lt;&gt;"")*($S$8:$S38&lt;&gt;"")*($Y$8:$Y38=1)),"")</f>
        <v/>
      </c>
      <c r="AA38" s="25">
        <f>IF(AND($A38&lt;&gt;"",$T38&lt;&gt;"",$Y38=1),SUMPRODUCT(($A$8:$A38&lt;&gt;"")*($T$8:$T38&lt;&gt;"")*($Y$8:$Y38=1)),"")</f>
        <v/>
      </c>
    </row>
    <row r="39">
      <c r="A39" s="13" t="n"/>
      <c r="B39" s="13" t="n"/>
      <c r="C39" s="26" t="n"/>
      <c r="D39" s="26" t="n"/>
      <c r="E39" s="26" t="n"/>
      <c r="F39" s="13" t="n"/>
      <c r="G39" s="13" t="n"/>
      <c r="H39" s="13" t="n"/>
      <c r="I39" s="13" t="n"/>
      <c r="J39" s="23">
        <f>IF($A39="","",IFERROR(INDEX('Ref_Crosswalk'!$F$2:$F$500,MATCH($A39,'Ref_Crosswalk'!$A$2:$A$500,0)),"UNKNOWN"))</f>
        <v/>
      </c>
      <c r="K39" s="24">
        <f>IF($A39="","",IFERROR(INDEX('Ref_Tolerance'!$B$2:$B$9,MATCH($J39,'Ref_Tolerance'!$A$2:$A$9,0)),""))</f>
        <v/>
      </c>
      <c r="L39" s="23">
        <f>IF($A39="","",IFERROR(INDEX('Ref_Tolerance'!$D$2:$D$9,MATCH($J39,'Ref_Tolerance'!$A$2:$A$9,0)),""))</f>
        <v/>
      </c>
      <c r="M39" s="24">
        <f>IF($A39="","",IFERROR(ABS(N($D39))/N($C39),0))</f>
        <v/>
      </c>
      <c r="N39" s="24">
        <f>IF($A39="","",IFERROR(N($E39)/N($C39),0))</f>
        <v/>
      </c>
      <c r="O39" s="23">
        <f>IF($A39="",0,IFERROR(SUMPRODUCT(($A$8:$A$307=$A39)*($P$8:$P$307="FAIL")*($U$8:$U$307&gt;$V39)*($U$8:$U$307&lt;=$U39)),0))</f>
        <v/>
      </c>
      <c r="P39" s="23">
        <f>IF($A39="","",IFERROR(IF(NOT(ISNUMBER($K39)),"CHECK",IF($L39="MARGIN",IF($N39&lt;=$K39,"PASS","FAIL"),IF($M39&lt;=$K39,"PASS","FAIL"))),"CHECK"))</f>
        <v/>
      </c>
      <c r="Q39" s="23">
        <f>IF($A39="","",IFERROR(INDEX('Ref_Tolerance'!$E$2:$E$9,MATCH($J39,'Ref_Tolerance'!$A$2:$A$9,0)),""))</f>
        <v/>
      </c>
      <c r="R39" s="23">
        <f>IF($A39="","",IFERROR(IF($O39=0,"CLEAR",IF($O39=1,"MFR DUE - MANAGER",IF($O39=2,"MFR DUE - FSS/CC SIGNATURE REQUIRED","INVESTIGATION + REPORT OF SURVEY; MSG/CC NOTIFIED"))),""))</f>
        <v/>
      </c>
      <c r="S39" s="23">
        <f>IF($A39="","",IF($O39=2,"WATCH - ONE MORE MISS TRIGGERS INVESTIGATION",""))</f>
        <v/>
      </c>
      <c r="T39" s="23">
        <f>IF($A39="","",IFERROR(IF(AND($O39&gt;=1,$F39&lt;&gt;"Y"),"MFR NOT SUBMITTED",IF(AND($O39&gt;=2,$G39&lt;&gt;"Y"),"FSS/CC SIGNATURE MISSING",IF(AND($O39&gt;=3,$H39&lt;&gt;"Y"),"INVESTIGATION NOT OPENED",""))),""))</f>
        <v/>
      </c>
      <c r="U39" s="25">
        <f>IF($A39="",0,IFERROR(MATCH($B39,'Ref_Calendar'!$A$2:$A$500,0),0))</f>
        <v/>
      </c>
      <c r="V39" s="25">
        <f>IF($A39="",0,IFERROR(SUMPRODUCT(MAX(($A$8:$A$307=$A39)*($P$8:$P$307="PASS")*($U$8:$U$307&lt;=$U39)*$U$8:$U$307)),0))</f>
        <v/>
      </c>
      <c r="W39" s="25">
        <f>IF($A39="","",IFERROR(INDEX('Ref_Crosswalk'!$E$2:$E$500,MATCH($A39,'Ref_Crosswalk'!$A$2:$A$500,0)),""))</f>
        <v/>
      </c>
      <c r="X39" s="25">
        <f>IF($A39="","",IFERROR(INDEX('Ref_Crosswalk'!$C$2:$C$500,MATCH($A39,'Ref_Crosswalk'!$A$2:$A$500,0)),""))</f>
        <v/>
      </c>
      <c r="Y39" s="25">
        <f>IF($A39="",0,IF(AND(OR('Out_Dashboard'!$C$5="",$W39='Out_Dashboard'!$C$5),OR('Out_Dashboard'!$C$6="",$X39='Out_Dashboard'!$C$6),OR('Out_Dashboard'!$C$7="",$B39='Out_Dashboard'!$C$7)),1,0))</f>
        <v/>
      </c>
      <c r="Z39" s="25">
        <f>IF(AND($A39&lt;&gt;"",$S39&lt;&gt;"",$Y39=1),SUMPRODUCT(($A$8:$A39&lt;&gt;"")*($S$8:$S39&lt;&gt;"")*($Y$8:$Y39=1)),"")</f>
        <v/>
      </c>
      <c r="AA39" s="25">
        <f>IF(AND($A39&lt;&gt;"",$T39&lt;&gt;"",$Y39=1),SUMPRODUCT(($A$8:$A39&lt;&gt;"")*($T$8:$T39&lt;&gt;"")*($Y$8:$Y39=1)),"")</f>
        <v/>
      </c>
    </row>
    <row r="40">
      <c r="A40" s="13" t="n"/>
      <c r="B40" s="13" t="n"/>
      <c r="C40" s="26" t="n"/>
      <c r="D40" s="26" t="n"/>
      <c r="E40" s="26" t="n"/>
      <c r="F40" s="13" t="n"/>
      <c r="G40" s="13" t="n"/>
      <c r="H40" s="13" t="n"/>
      <c r="I40" s="13" t="n"/>
      <c r="J40" s="23">
        <f>IF($A40="","",IFERROR(INDEX('Ref_Crosswalk'!$F$2:$F$500,MATCH($A40,'Ref_Crosswalk'!$A$2:$A$500,0)),"UNKNOWN"))</f>
        <v/>
      </c>
      <c r="K40" s="24">
        <f>IF($A40="","",IFERROR(INDEX('Ref_Tolerance'!$B$2:$B$9,MATCH($J40,'Ref_Tolerance'!$A$2:$A$9,0)),""))</f>
        <v/>
      </c>
      <c r="L40" s="23">
        <f>IF($A40="","",IFERROR(INDEX('Ref_Tolerance'!$D$2:$D$9,MATCH($J40,'Ref_Tolerance'!$A$2:$A$9,0)),""))</f>
        <v/>
      </c>
      <c r="M40" s="24">
        <f>IF($A40="","",IFERROR(ABS(N($D40))/N($C40),0))</f>
        <v/>
      </c>
      <c r="N40" s="24">
        <f>IF($A40="","",IFERROR(N($E40)/N($C40),0))</f>
        <v/>
      </c>
      <c r="O40" s="23">
        <f>IF($A40="",0,IFERROR(SUMPRODUCT(($A$8:$A$307=$A40)*($P$8:$P$307="FAIL")*($U$8:$U$307&gt;$V40)*($U$8:$U$307&lt;=$U40)),0))</f>
        <v/>
      </c>
      <c r="P40" s="23">
        <f>IF($A40="","",IFERROR(IF(NOT(ISNUMBER($K40)),"CHECK",IF($L40="MARGIN",IF($N40&lt;=$K40,"PASS","FAIL"),IF($M40&lt;=$K40,"PASS","FAIL"))),"CHECK"))</f>
        <v/>
      </c>
      <c r="Q40" s="23">
        <f>IF($A40="","",IFERROR(INDEX('Ref_Tolerance'!$E$2:$E$9,MATCH($J40,'Ref_Tolerance'!$A$2:$A$9,0)),""))</f>
        <v/>
      </c>
      <c r="R40" s="23">
        <f>IF($A40="","",IFERROR(IF($O40=0,"CLEAR",IF($O40=1,"MFR DUE - MANAGER",IF($O40=2,"MFR DUE - FSS/CC SIGNATURE REQUIRED","INVESTIGATION + REPORT OF SURVEY; MSG/CC NOTIFIED"))),""))</f>
        <v/>
      </c>
      <c r="S40" s="23">
        <f>IF($A40="","",IF($O40=2,"WATCH - ONE MORE MISS TRIGGERS INVESTIGATION",""))</f>
        <v/>
      </c>
      <c r="T40" s="23">
        <f>IF($A40="","",IFERROR(IF(AND($O40&gt;=1,$F40&lt;&gt;"Y"),"MFR NOT SUBMITTED",IF(AND($O40&gt;=2,$G40&lt;&gt;"Y"),"FSS/CC SIGNATURE MISSING",IF(AND($O40&gt;=3,$H40&lt;&gt;"Y"),"INVESTIGATION NOT OPENED",""))),""))</f>
        <v/>
      </c>
      <c r="U40" s="25">
        <f>IF($A40="",0,IFERROR(MATCH($B40,'Ref_Calendar'!$A$2:$A$500,0),0))</f>
        <v/>
      </c>
      <c r="V40" s="25">
        <f>IF($A40="",0,IFERROR(SUMPRODUCT(MAX(($A$8:$A$307=$A40)*($P$8:$P$307="PASS")*($U$8:$U$307&lt;=$U40)*$U$8:$U$307)),0))</f>
        <v/>
      </c>
      <c r="W40" s="25">
        <f>IF($A40="","",IFERROR(INDEX('Ref_Crosswalk'!$E$2:$E$500,MATCH($A40,'Ref_Crosswalk'!$A$2:$A$500,0)),""))</f>
        <v/>
      </c>
      <c r="X40" s="25">
        <f>IF($A40="","",IFERROR(INDEX('Ref_Crosswalk'!$C$2:$C$500,MATCH($A40,'Ref_Crosswalk'!$A$2:$A$500,0)),""))</f>
        <v/>
      </c>
      <c r="Y40" s="25">
        <f>IF($A40="",0,IF(AND(OR('Out_Dashboard'!$C$5="",$W40='Out_Dashboard'!$C$5),OR('Out_Dashboard'!$C$6="",$X40='Out_Dashboard'!$C$6),OR('Out_Dashboard'!$C$7="",$B40='Out_Dashboard'!$C$7)),1,0))</f>
        <v/>
      </c>
      <c r="Z40" s="25">
        <f>IF(AND($A40&lt;&gt;"",$S40&lt;&gt;"",$Y40=1),SUMPRODUCT(($A$8:$A40&lt;&gt;"")*($S$8:$S40&lt;&gt;"")*($Y$8:$Y40=1)),"")</f>
        <v/>
      </c>
      <c r="AA40" s="25">
        <f>IF(AND($A40&lt;&gt;"",$T40&lt;&gt;"",$Y40=1),SUMPRODUCT(($A$8:$A40&lt;&gt;"")*($T$8:$T40&lt;&gt;"")*($Y$8:$Y40=1)),"")</f>
        <v/>
      </c>
    </row>
    <row r="41">
      <c r="A41" s="13" t="n"/>
      <c r="B41" s="13" t="n"/>
      <c r="C41" s="26" t="n"/>
      <c r="D41" s="26" t="n"/>
      <c r="E41" s="26" t="n"/>
      <c r="F41" s="13" t="n"/>
      <c r="G41" s="13" t="n"/>
      <c r="H41" s="13" t="n"/>
      <c r="I41" s="13" t="n"/>
      <c r="J41" s="23">
        <f>IF($A41="","",IFERROR(INDEX('Ref_Crosswalk'!$F$2:$F$500,MATCH($A41,'Ref_Crosswalk'!$A$2:$A$500,0)),"UNKNOWN"))</f>
        <v/>
      </c>
      <c r="K41" s="24">
        <f>IF($A41="","",IFERROR(INDEX('Ref_Tolerance'!$B$2:$B$9,MATCH($J41,'Ref_Tolerance'!$A$2:$A$9,0)),""))</f>
        <v/>
      </c>
      <c r="L41" s="23">
        <f>IF($A41="","",IFERROR(INDEX('Ref_Tolerance'!$D$2:$D$9,MATCH($J41,'Ref_Tolerance'!$A$2:$A$9,0)),""))</f>
        <v/>
      </c>
      <c r="M41" s="24">
        <f>IF($A41="","",IFERROR(ABS(N($D41))/N($C41),0))</f>
        <v/>
      </c>
      <c r="N41" s="24">
        <f>IF($A41="","",IFERROR(N($E41)/N($C41),0))</f>
        <v/>
      </c>
      <c r="O41" s="23">
        <f>IF($A41="",0,IFERROR(SUMPRODUCT(($A$8:$A$307=$A41)*($P$8:$P$307="FAIL")*($U$8:$U$307&gt;$V41)*($U$8:$U$307&lt;=$U41)),0))</f>
        <v/>
      </c>
      <c r="P41" s="23">
        <f>IF($A41="","",IFERROR(IF(NOT(ISNUMBER($K41)),"CHECK",IF($L41="MARGIN",IF($N41&lt;=$K41,"PASS","FAIL"),IF($M41&lt;=$K41,"PASS","FAIL"))),"CHECK"))</f>
        <v/>
      </c>
      <c r="Q41" s="23">
        <f>IF($A41="","",IFERROR(INDEX('Ref_Tolerance'!$E$2:$E$9,MATCH($J41,'Ref_Tolerance'!$A$2:$A$9,0)),""))</f>
        <v/>
      </c>
      <c r="R41" s="23">
        <f>IF($A41="","",IFERROR(IF($O41=0,"CLEAR",IF($O41=1,"MFR DUE - MANAGER",IF($O41=2,"MFR DUE - FSS/CC SIGNATURE REQUIRED","INVESTIGATION + REPORT OF SURVEY; MSG/CC NOTIFIED"))),""))</f>
        <v/>
      </c>
      <c r="S41" s="23">
        <f>IF($A41="","",IF($O41=2,"WATCH - ONE MORE MISS TRIGGERS INVESTIGATION",""))</f>
        <v/>
      </c>
      <c r="T41" s="23">
        <f>IF($A41="","",IFERROR(IF(AND($O41&gt;=1,$F41&lt;&gt;"Y"),"MFR NOT SUBMITTED",IF(AND($O41&gt;=2,$G41&lt;&gt;"Y"),"FSS/CC SIGNATURE MISSING",IF(AND($O41&gt;=3,$H41&lt;&gt;"Y"),"INVESTIGATION NOT OPENED",""))),""))</f>
        <v/>
      </c>
      <c r="U41" s="25">
        <f>IF($A41="",0,IFERROR(MATCH($B41,'Ref_Calendar'!$A$2:$A$500,0),0))</f>
        <v/>
      </c>
      <c r="V41" s="25">
        <f>IF($A41="",0,IFERROR(SUMPRODUCT(MAX(($A$8:$A$307=$A41)*($P$8:$P$307="PASS")*($U$8:$U$307&lt;=$U41)*$U$8:$U$307)),0))</f>
        <v/>
      </c>
      <c r="W41" s="25">
        <f>IF($A41="","",IFERROR(INDEX('Ref_Crosswalk'!$E$2:$E$500,MATCH($A41,'Ref_Crosswalk'!$A$2:$A$500,0)),""))</f>
        <v/>
      </c>
      <c r="X41" s="25">
        <f>IF($A41="","",IFERROR(INDEX('Ref_Crosswalk'!$C$2:$C$500,MATCH($A41,'Ref_Crosswalk'!$A$2:$A$500,0)),""))</f>
        <v/>
      </c>
      <c r="Y41" s="25">
        <f>IF($A41="",0,IF(AND(OR('Out_Dashboard'!$C$5="",$W41='Out_Dashboard'!$C$5),OR('Out_Dashboard'!$C$6="",$X41='Out_Dashboard'!$C$6),OR('Out_Dashboard'!$C$7="",$B41='Out_Dashboard'!$C$7)),1,0))</f>
        <v/>
      </c>
      <c r="Z41" s="25">
        <f>IF(AND($A41&lt;&gt;"",$S41&lt;&gt;"",$Y41=1),SUMPRODUCT(($A$8:$A41&lt;&gt;"")*($S$8:$S41&lt;&gt;"")*($Y$8:$Y41=1)),"")</f>
        <v/>
      </c>
      <c r="AA41" s="25">
        <f>IF(AND($A41&lt;&gt;"",$T41&lt;&gt;"",$Y41=1),SUMPRODUCT(($A$8:$A41&lt;&gt;"")*($T$8:$T41&lt;&gt;"")*($Y$8:$Y41=1)),"")</f>
        <v/>
      </c>
    </row>
    <row r="42">
      <c r="A42" s="13" t="n"/>
      <c r="B42" s="13" t="n"/>
      <c r="C42" s="26" t="n"/>
      <c r="D42" s="26" t="n"/>
      <c r="E42" s="26" t="n"/>
      <c r="F42" s="13" t="n"/>
      <c r="G42" s="13" t="n"/>
      <c r="H42" s="13" t="n"/>
      <c r="I42" s="13" t="n"/>
      <c r="J42" s="23">
        <f>IF($A42="","",IFERROR(INDEX('Ref_Crosswalk'!$F$2:$F$500,MATCH($A42,'Ref_Crosswalk'!$A$2:$A$500,0)),"UNKNOWN"))</f>
        <v/>
      </c>
      <c r="K42" s="24">
        <f>IF($A42="","",IFERROR(INDEX('Ref_Tolerance'!$B$2:$B$9,MATCH($J42,'Ref_Tolerance'!$A$2:$A$9,0)),""))</f>
        <v/>
      </c>
      <c r="L42" s="23">
        <f>IF($A42="","",IFERROR(INDEX('Ref_Tolerance'!$D$2:$D$9,MATCH($J42,'Ref_Tolerance'!$A$2:$A$9,0)),""))</f>
        <v/>
      </c>
      <c r="M42" s="24">
        <f>IF($A42="","",IFERROR(ABS(N($D42))/N($C42),0))</f>
        <v/>
      </c>
      <c r="N42" s="24">
        <f>IF($A42="","",IFERROR(N($E42)/N($C42),0))</f>
        <v/>
      </c>
      <c r="O42" s="23">
        <f>IF($A42="",0,IFERROR(SUMPRODUCT(($A$8:$A$307=$A42)*($P$8:$P$307="FAIL")*($U$8:$U$307&gt;$V42)*($U$8:$U$307&lt;=$U42)),0))</f>
        <v/>
      </c>
      <c r="P42" s="23">
        <f>IF($A42="","",IFERROR(IF(NOT(ISNUMBER($K42)),"CHECK",IF($L42="MARGIN",IF($N42&lt;=$K42,"PASS","FAIL"),IF($M42&lt;=$K42,"PASS","FAIL"))),"CHECK"))</f>
        <v/>
      </c>
      <c r="Q42" s="23">
        <f>IF($A42="","",IFERROR(INDEX('Ref_Tolerance'!$E$2:$E$9,MATCH($J42,'Ref_Tolerance'!$A$2:$A$9,0)),""))</f>
        <v/>
      </c>
      <c r="R42" s="23">
        <f>IF($A42="","",IFERROR(IF($O42=0,"CLEAR",IF($O42=1,"MFR DUE - MANAGER",IF($O42=2,"MFR DUE - FSS/CC SIGNATURE REQUIRED","INVESTIGATION + REPORT OF SURVEY; MSG/CC NOTIFIED"))),""))</f>
        <v/>
      </c>
      <c r="S42" s="23">
        <f>IF($A42="","",IF($O42=2,"WATCH - ONE MORE MISS TRIGGERS INVESTIGATION",""))</f>
        <v/>
      </c>
      <c r="T42" s="23">
        <f>IF($A42="","",IFERROR(IF(AND($O42&gt;=1,$F42&lt;&gt;"Y"),"MFR NOT SUBMITTED",IF(AND($O42&gt;=2,$G42&lt;&gt;"Y"),"FSS/CC SIGNATURE MISSING",IF(AND($O42&gt;=3,$H42&lt;&gt;"Y"),"INVESTIGATION NOT OPENED",""))),""))</f>
        <v/>
      </c>
      <c r="U42" s="25">
        <f>IF($A42="",0,IFERROR(MATCH($B42,'Ref_Calendar'!$A$2:$A$500,0),0))</f>
        <v/>
      </c>
      <c r="V42" s="25">
        <f>IF($A42="",0,IFERROR(SUMPRODUCT(MAX(($A$8:$A$307=$A42)*($P$8:$P$307="PASS")*($U$8:$U$307&lt;=$U42)*$U$8:$U$307)),0))</f>
        <v/>
      </c>
      <c r="W42" s="25">
        <f>IF($A42="","",IFERROR(INDEX('Ref_Crosswalk'!$E$2:$E$500,MATCH($A42,'Ref_Crosswalk'!$A$2:$A$500,0)),""))</f>
        <v/>
      </c>
      <c r="X42" s="25">
        <f>IF($A42="","",IFERROR(INDEX('Ref_Crosswalk'!$C$2:$C$500,MATCH($A42,'Ref_Crosswalk'!$A$2:$A$500,0)),""))</f>
        <v/>
      </c>
      <c r="Y42" s="25">
        <f>IF($A42="",0,IF(AND(OR('Out_Dashboard'!$C$5="",$W42='Out_Dashboard'!$C$5),OR('Out_Dashboard'!$C$6="",$X42='Out_Dashboard'!$C$6),OR('Out_Dashboard'!$C$7="",$B42='Out_Dashboard'!$C$7)),1,0))</f>
        <v/>
      </c>
      <c r="Z42" s="25">
        <f>IF(AND($A42&lt;&gt;"",$S42&lt;&gt;"",$Y42=1),SUMPRODUCT(($A$8:$A42&lt;&gt;"")*($S$8:$S42&lt;&gt;"")*($Y$8:$Y42=1)),"")</f>
        <v/>
      </c>
      <c r="AA42" s="25">
        <f>IF(AND($A42&lt;&gt;"",$T42&lt;&gt;"",$Y42=1),SUMPRODUCT(($A$8:$A42&lt;&gt;"")*($T$8:$T42&lt;&gt;"")*($Y$8:$Y42=1)),"")</f>
        <v/>
      </c>
    </row>
    <row r="43">
      <c r="A43" s="13" t="n"/>
      <c r="B43" s="13" t="n"/>
      <c r="C43" s="26" t="n"/>
      <c r="D43" s="26" t="n"/>
      <c r="E43" s="26" t="n"/>
      <c r="F43" s="13" t="n"/>
      <c r="G43" s="13" t="n"/>
      <c r="H43" s="13" t="n"/>
      <c r="I43" s="13" t="n"/>
      <c r="J43" s="23">
        <f>IF($A43="","",IFERROR(INDEX('Ref_Crosswalk'!$F$2:$F$500,MATCH($A43,'Ref_Crosswalk'!$A$2:$A$500,0)),"UNKNOWN"))</f>
        <v/>
      </c>
      <c r="K43" s="24">
        <f>IF($A43="","",IFERROR(INDEX('Ref_Tolerance'!$B$2:$B$9,MATCH($J43,'Ref_Tolerance'!$A$2:$A$9,0)),""))</f>
        <v/>
      </c>
      <c r="L43" s="23">
        <f>IF($A43="","",IFERROR(INDEX('Ref_Tolerance'!$D$2:$D$9,MATCH($J43,'Ref_Tolerance'!$A$2:$A$9,0)),""))</f>
        <v/>
      </c>
      <c r="M43" s="24">
        <f>IF($A43="","",IFERROR(ABS(N($D43))/N($C43),0))</f>
        <v/>
      </c>
      <c r="N43" s="24">
        <f>IF($A43="","",IFERROR(N($E43)/N($C43),0))</f>
        <v/>
      </c>
      <c r="O43" s="23">
        <f>IF($A43="",0,IFERROR(SUMPRODUCT(($A$8:$A$307=$A43)*($P$8:$P$307="FAIL")*($U$8:$U$307&gt;$V43)*($U$8:$U$307&lt;=$U43)),0))</f>
        <v/>
      </c>
      <c r="P43" s="23">
        <f>IF($A43="","",IFERROR(IF(NOT(ISNUMBER($K43)),"CHECK",IF($L43="MARGIN",IF($N43&lt;=$K43,"PASS","FAIL"),IF($M43&lt;=$K43,"PASS","FAIL"))),"CHECK"))</f>
        <v/>
      </c>
      <c r="Q43" s="23">
        <f>IF($A43="","",IFERROR(INDEX('Ref_Tolerance'!$E$2:$E$9,MATCH($J43,'Ref_Tolerance'!$A$2:$A$9,0)),""))</f>
        <v/>
      </c>
      <c r="R43" s="23">
        <f>IF($A43="","",IFERROR(IF($O43=0,"CLEAR",IF($O43=1,"MFR DUE - MANAGER",IF($O43=2,"MFR DUE - FSS/CC SIGNATURE REQUIRED","INVESTIGATION + REPORT OF SURVEY; MSG/CC NOTIFIED"))),""))</f>
        <v/>
      </c>
      <c r="S43" s="23">
        <f>IF($A43="","",IF($O43=2,"WATCH - ONE MORE MISS TRIGGERS INVESTIGATION",""))</f>
        <v/>
      </c>
      <c r="T43" s="23">
        <f>IF($A43="","",IFERROR(IF(AND($O43&gt;=1,$F43&lt;&gt;"Y"),"MFR NOT SUBMITTED",IF(AND($O43&gt;=2,$G43&lt;&gt;"Y"),"FSS/CC SIGNATURE MISSING",IF(AND($O43&gt;=3,$H43&lt;&gt;"Y"),"INVESTIGATION NOT OPENED",""))),""))</f>
        <v/>
      </c>
      <c r="U43" s="25">
        <f>IF($A43="",0,IFERROR(MATCH($B43,'Ref_Calendar'!$A$2:$A$500,0),0))</f>
        <v/>
      </c>
      <c r="V43" s="25">
        <f>IF($A43="",0,IFERROR(SUMPRODUCT(MAX(($A$8:$A$307=$A43)*($P$8:$P$307="PASS")*($U$8:$U$307&lt;=$U43)*$U$8:$U$307)),0))</f>
        <v/>
      </c>
      <c r="W43" s="25">
        <f>IF($A43="","",IFERROR(INDEX('Ref_Crosswalk'!$E$2:$E$500,MATCH($A43,'Ref_Crosswalk'!$A$2:$A$500,0)),""))</f>
        <v/>
      </c>
      <c r="X43" s="25">
        <f>IF($A43="","",IFERROR(INDEX('Ref_Crosswalk'!$C$2:$C$500,MATCH($A43,'Ref_Crosswalk'!$A$2:$A$500,0)),""))</f>
        <v/>
      </c>
      <c r="Y43" s="25">
        <f>IF($A43="",0,IF(AND(OR('Out_Dashboard'!$C$5="",$W43='Out_Dashboard'!$C$5),OR('Out_Dashboard'!$C$6="",$X43='Out_Dashboard'!$C$6),OR('Out_Dashboard'!$C$7="",$B43='Out_Dashboard'!$C$7)),1,0))</f>
        <v/>
      </c>
      <c r="Z43" s="25">
        <f>IF(AND($A43&lt;&gt;"",$S43&lt;&gt;"",$Y43=1),SUMPRODUCT(($A$8:$A43&lt;&gt;"")*($S$8:$S43&lt;&gt;"")*($Y$8:$Y43=1)),"")</f>
        <v/>
      </c>
      <c r="AA43" s="25">
        <f>IF(AND($A43&lt;&gt;"",$T43&lt;&gt;"",$Y43=1),SUMPRODUCT(($A$8:$A43&lt;&gt;"")*($T$8:$T43&lt;&gt;"")*($Y$8:$Y43=1)),"")</f>
        <v/>
      </c>
    </row>
    <row r="44">
      <c r="A44" s="13" t="n"/>
      <c r="B44" s="13" t="n"/>
      <c r="C44" s="26" t="n"/>
      <c r="D44" s="26" t="n"/>
      <c r="E44" s="26" t="n"/>
      <c r="F44" s="13" t="n"/>
      <c r="G44" s="13" t="n"/>
      <c r="H44" s="13" t="n"/>
      <c r="I44" s="13" t="n"/>
      <c r="J44" s="23">
        <f>IF($A44="","",IFERROR(INDEX('Ref_Crosswalk'!$F$2:$F$500,MATCH($A44,'Ref_Crosswalk'!$A$2:$A$500,0)),"UNKNOWN"))</f>
        <v/>
      </c>
      <c r="K44" s="24">
        <f>IF($A44="","",IFERROR(INDEX('Ref_Tolerance'!$B$2:$B$9,MATCH($J44,'Ref_Tolerance'!$A$2:$A$9,0)),""))</f>
        <v/>
      </c>
      <c r="L44" s="23">
        <f>IF($A44="","",IFERROR(INDEX('Ref_Tolerance'!$D$2:$D$9,MATCH($J44,'Ref_Tolerance'!$A$2:$A$9,0)),""))</f>
        <v/>
      </c>
      <c r="M44" s="24">
        <f>IF($A44="","",IFERROR(ABS(N($D44))/N($C44),0))</f>
        <v/>
      </c>
      <c r="N44" s="24">
        <f>IF($A44="","",IFERROR(N($E44)/N($C44),0))</f>
        <v/>
      </c>
      <c r="O44" s="23">
        <f>IF($A44="",0,IFERROR(SUMPRODUCT(($A$8:$A$307=$A44)*($P$8:$P$307="FAIL")*($U$8:$U$307&gt;$V44)*($U$8:$U$307&lt;=$U44)),0))</f>
        <v/>
      </c>
      <c r="P44" s="23">
        <f>IF($A44="","",IFERROR(IF(NOT(ISNUMBER($K44)),"CHECK",IF($L44="MARGIN",IF($N44&lt;=$K44,"PASS","FAIL"),IF($M44&lt;=$K44,"PASS","FAIL"))),"CHECK"))</f>
        <v/>
      </c>
      <c r="Q44" s="23">
        <f>IF($A44="","",IFERROR(INDEX('Ref_Tolerance'!$E$2:$E$9,MATCH($J44,'Ref_Tolerance'!$A$2:$A$9,0)),""))</f>
        <v/>
      </c>
      <c r="R44" s="23">
        <f>IF($A44="","",IFERROR(IF($O44=0,"CLEAR",IF($O44=1,"MFR DUE - MANAGER",IF($O44=2,"MFR DUE - FSS/CC SIGNATURE REQUIRED","INVESTIGATION + REPORT OF SURVEY; MSG/CC NOTIFIED"))),""))</f>
        <v/>
      </c>
      <c r="S44" s="23">
        <f>IF($A44="","",IF($O44=2,"WATCH - ONE MORE MISS TRIGGERS INVESTIGATION",""))</f>
        <v/>
      </c>
      <c r="T44" s="23">
        <f>IF($A44="","",IFERROR(IF(AND($O44&gt;=1,$F44&lt;&gt;"Y"),"MFR NOT SUBMITTED",IF(AND($O44&gt;=2,$G44&lt;&gt;"Y"),"FSS/CC SIGNATURE MISSING",IF(AND($O44&gt;=3,$H44&lt;&gt;"Y"),"INVESTIGATION NOT OPENED",""))),""))</f>
        <v/>
      </c>
      <c r="U44" s="25">
        <f>IF($A44="",0,IFERROR(MATCH($B44,'Ref_Calendar'!$A$2:$A$500,0),0))</f>
        <v/>
      </c>
      <c r="V44" s="25">
        <f>IF($A44="",0,IFERROR(SUMPRODUCT(MAX(($A$8:$A$307=$A44)*($P$8:$P$307="PASS")*($U$8:$U$307&lt;=$U44)*$U$8:$U$307)),0))</f>
        <v/>
      </c>
      <c r="W44" s="25">
        <f>IF($A44="","",IFERROR(INDEX('Ref_Crosswalk'!$E$2:$E$500,MATCH($A44,'Ref_Crosswalk'!$A$2:$A$500,0)),""))</f>
        <v/>
      </c>
      <c r="X44" s="25">
        <f>IF($A44="","",IFERROR(INDEX('Ref_Crosswalk'!$C$2:$C$500,MATCH($A44,'Ref_Crosswalk'!$A$2:$A$500,0)),""))</f>
        <v/>
      </c>
      <c r="Y44" s="25">
        <f>IF($A44="",0,IF(AND(OR('Out_Dashboard'!$C$5="",$W44='Out_Dashboard'!$C$5),OR('Out_Dashboard'!$C$6="",$X44='Out_Dashboard'!$C$6),OR('Out_Dashboard'!$C$7="",$B44='Out_Dashboard'!$C$7)),1,0))</f>
        <v/>
      </c>
      <c r="Z44" s="25">
        <f>IF(AND($A44&lt;&gt;"",$S44&lt;&gt;"",$Y44=1),SUMPRODUCT(($A$8:$A44&lt;&gt;"")*($S$8:$S44&lt;&gt;"")*($Y$8:$Y44=1)),"")</f>
        <v/>
      </c>
      <c r="AA44" s="25">
        <f>IF(AND($A44&lt;&gt;"",$T44&lt;&gt;"",$Y44=1),SUMPRODUCT(($A$8:$A44&lt;&gt;"")*($T$8:$T44&lt;&gt;"")*($Y$8:$Y44=1)),"")</f>
        <v/>
      </c>
    </row>
    <row r="45">
      <c r="A45" s="13" t="n"/>
      <c r="B45" s="13" t="n"/>
      <c r="C45" s="26" t="n"/>
      <c r="D45" s="26" t="n"/>
      <c r="E45" s="26" t="n"/>
      <c r="F45" s="13" t="n"/>
      <c r="G45" s="13" t="n"/>
      <c r="H45" s="13" t="n"/>
      <c r="I45" s="13" t="n"/>
      <c r="J45" s="23">
        <f>IF($A45="","",IFERROR(INDEX('Ref_Crosswalk'!$F$2:$F$500,MATCH($A45,'Ref_Crosswalk'!$A$2:$A$500,0)),"UNKNOWN"))</f>
        <v/>
      </c>
      <c r="K45" s="24">
        <f>IF($A45="","",IFERROR(INDEX('Ref_Tolerance'!$B$2:$B$9,MATCH($J45,'Ref_Tolerance'!$A$2:$A$9,0)),""))</f>
        <v/>
      </c>
      <c r="L45" s="23">
        <f>IF($A45="","",IFERROR(INDEX('Ref_Tolerance'!$D$2:$D$9,MATCH($J45,'Ref_Tolerance'!$A$2:$A$9,0)),""))</f>
        <v/>
      </c>
      <c r="M45" s="24">
        <f>IF($A45="","",IFERROR(ABS(N($D45))/N($C45),0))</f>
        <v/>
      </c>
      <c r="N45" s="24">
        <f>IF($A45="","",IFERROR(N($E45)/N($C45),0))</f>
        <v/>
      </c>
      <c r="O45" s="23">
        <f>IF($A45="",0,IFERROR(SUMPRODUCT(($A$8:$A$307=$A45)*($P$8:$P$307="FAIL")*($U$8:$U$307&gt;$V45)*($U$8:$U$307&lt;=$U45)),0))</f>
        <v/>
      </c>
      <c r="P45" s="23">
        <f>IF($A45="","",IFERROR(IF(NOT(ISNUMBER($K45)),"CHECK",IF($L45="MARGIN",IF($N45&lt;=$K45,"PASS","FAIL"),IF($M45&lt;=$K45,"PASS","FAIL"))),"CHECK"))</f>
        <v/>
      </c>
      <c r="Q45" s="23">
        <f>IF($A45="","",IFERROR(INDEX('Ref_Tolerance'!$E$2:$E$9,MATCH($J45,'Ref_Tolerance'!$A$2:$A$9,0)),""))</f>
        <v/>
      </c>
      <c r="R45" s="23">
        <f>IF($A45="","",IFERROR(IF($O45=0,"CLEAR",IF($O45=1,"MFR DUE - MANAGER",IF($O45=2,"MFR DUE - FSS/CC SIGNATURE REQUIRED","INVESTIGATION + REPORT OF SURVEY; MSG/CC NOTIFIED"))),""))</f>
        <v/>
      </c>
      <c r="S45" s="23">
        <f>IF($A45="","",IF($O45=2,"WATCH - ONE MORE MISS TRIGGERS INVESTIGATION",""))</f>
        <v/>
      </c>
      <c r="T45" s="23">
        <f>IF($A45="","",IFERROR(IF(AND($O45&gt;=1,$F45&lt;&gt;"Y"),"MFR NOT SUBMITTED",IF(AND($O45&gt;=2,$G45&lt;&gt;"Y"),"FSS/CC SIGNATURE MISSING",IF(AND($O45&gt;=3,$H45&lt;&gt;"Y"),"INVESTIGATION NOT OPENED",""))),""))</f>
        <v/>
      </c>
      <c r="U45" s="25">
        <f>IF($A45="",0,IFERROR(MATCH($B45,'Ref_Calendar'!$A$2:$A$500,0),0))</f>
        <v/>
      </c>
      <c r="V45" s="25">
        <f>IF($A45="",0,IFERROR(SUMPRODUCT(MAX(($A$8:$A$307=$A45)*($P$8:$P$307="PASS")*($U$8:$U$307&lt;=$U45)*$U$8:$U$307)),0))</f>
        <v/>
      </c>
      <c r="W45" s="25">
        <f>IF($A45="","",IFERROR(INDEX('Ref_Crosswalk'!$E$2:$E$500,MATCH($A45,'Ref_Crosswalk'!$A$2:$A$500,0)),""))</f>
        <v/>
      </c>
      <c r="X45" s="25">
        <f>IF($A45="","",IFERROR(INDEX('Ref_Crosswalk'!$C$2:$C$500,MATCH($A45,'Ref_Crosswalk'!$A$2:$A$500,0)),""))</f>
        <v/>
      </c>
      <c r="Y45" s="25">
        <f>IF($A45="",0,IF(AND(OR('Out_Dashboard'!$C$5="",$W45='Out_Dashboard'!$C$5),OR('Out_Dashboard'!$C$6="",$X45='Out_Dashboard'!$C$6),OR('Out_Dashboard'!$C$7="",$B45='Out_Dashboard'!$C$7)),1,0))</f>
        <v/>
      </c>
      <c r="Z45" s="25">
        <f>IF(AND($A45&lt;&gt;"",$S45&lt;&gt;"",$Y45=1),SUMPRODUCT(($A$8:$A45&lt;&gt;"")*($S$8:$S45&lt;&gt;"")*($Y$8:$Y45=1)),"")</f>
        <v/>
      </c>
      <c r="AA45" s="25">
        <f>IF(AND($A45&lt;&gt;"",$T45&lt;&gt;"",$Y45=1),SUMPRODUCT(($A$8:$A45&lt;&gt;"")*($T$8:$T45&lt;&gt;"")*($Y$8:$Y45=1)),"")</f>
        <v/>
      </c>
    </row>
    <row r="46">
      <c r="A46" s="13" t="n"/>
      <c r="B46" s="13" t="n"/>
      <c r="C46" s="26" t="n"/>
      <c r="D46" s="26" t="n"/>
      <c r="E46" s="26" t="n"/>
      <c r="F46" s="13" t="n"/>
      <c r="G46" s="13" t="n"/>
      <c r="H46" s="13" t="n"/>
      <c r="I46" s="13" t="n"/>
      <c r="J46" s="23">
        <f>IF($A46="","",IFERROR(INDEX('Ref_Crosswalk'!$F$2:$F$500,MATCH($A46,'Ref_Crosswalk'!$A$2:$A$500,0)),"UNKNOWN"))</f>
        <v/>
      </c>
      <c r="K46" s="24">
        <f>IF($A46="","",IFERROR(INDEX('Ref_Tolerance'!$B$2:$B$9,MATCH($J46,'Ref_Tolerance'!$A$2:$A$9,0)),""))</f>
        <v/>
      </c>
      <c r="L46" s="23">
        <f>IF($A46="","",IFERROR(INDEX('Ref_Tolerance'!$D$2:$D$9,MATCH($J46,'Ref_Tolerance'!$A$2:$A$9,0)),""))</f>
        <v/>
      </c>
      <c r="M46" s="24">
        <f>IF($A46="","",IFERROR(ABS(N($D46))/N($C46),0))</f>
        <v/>
      </c>
      <c r="N46" s="24">
        <f>IF($A46="","",IFERROR(N($E46)/N($C46),0))</f>
        <v/>
      </c>
      <c r="O46" s="23">
        <f>IF($A46="",0,IFERROR(SUMPRODUCT(($A$8:$A$307=$A46)*($P$8:$P$307="FAIL")*($U$8:$U$307&gt;$V46)*($U$8:$U$307&lt;=$U46)),0))</f>
        <v/>
      </c>
      <c r="P46" s="23">
        <f>IF($A46="","",IFERROR(IF(NOT(ISNUMBER($K46)),"CHECK",IF($L46="MARGIN",IF($N46&lt;=$K46,"PASS","FAIL"),IF($M46&lt;=$K46,"PASS","FAIL"))),"CHECK"))</f>
        <v/>
      </c>
      <c r="Q46" s="23">
        <f>IF($A46="","",IFERROR(INDEX('Ref_Tolerance'!$E$2:$E$9,MATCH($J46,'Ref_Tolerance'!$A$2:$A$9,0)),""))</f>
        <v/>
      </c>
      <c r="R46" s="23">
        <f>IF($A46="","",IFERROR(IF($O46=0,"CLEAR",IF($O46=1,"MFR DUE - MANAGER",IF($O46=2,"MFR DUE - FSS/CC SIGNATURE REQUIRED","INVESTIGATION + REPORT OF SURVEY; MSG/CC NOTIFIED"))),""))</f>
        <v/>
      </c>
      <c r="S46" s="23">
        <f>IF($A46="","",IF($O46=2,"WATCH - ONE MORE MISS TRIGGERS INVESTIGATION",""))</f>
        <v/>
      </c>
      <c r="T46" s="23">
        <f>IF($A46="","",IFERROR(IF(AND($O46&gt;=1,$F46&lt;&gt;"Y"),"MFR NOT SUBMITTED",IF(AND($O46&gt;=2,$G46&lt;&gt;"Y"),"FSS/CC SIGNATURE MISSING",IF(AND($O46&gt;=3,$H46&lt;&gt;"Y"),"INVESTIGATION NOT OPENED",""))),""))</f>
        <v/>
      </c>
      <c r="U46" s="25">
        <f>IF($A46="",0,IFERROR(MATCH($B46,'Ref_Calendar'!$A$2:$A$500,0),0))</f>
        <v/>
      </c>
      <c r="V46" s="25">
        <f>IF($A46="",0,IFERROR(SUMPRODUCT(MAX(($A$8:$A$307=$A46)*($P$8:$P$307="PASS")*($U$8:$U$307&lt;=$U46)*$U$8:$U$307)),0))</f>
        <v/>
      </c>
      <c r="W46" s="25">
        <f>IF($A46="","",IFERROR(INDEX('Ref_Crosswalk'!$E$2:$E$500,MATCH($A46,'Ref_Crosswalk'!$A$2:$A$500,0)),""))</f>
        <v/>
      </c>
      <c r="X46" s="25">
        <f>IF($A46="","",IFERROR(INDEX('Ref_Crosswalk'!$C$2:$C$500,MATCH($A46,'Ref_Crosswalk'!$A$2:$A$500,0)),""))</f>
        <v/>
      </c>
      <c r="Y46" s="25">
        <f>IF($A46="",0,IF(AND(OR('Out_Dashboard'!$C$5="",$W46='Out_Dashboard'!$C$5),OR('Out_Dashboard'!$C$6="",$X46='Out_Dashboard'!$C$6),OR('Out_Dashboard'!$C$7="",$B46='Out_Dashboard'!$C$7)),1,0))</f>
        <v/>
      </c>
      <c r="Z46" s="25">
        <f>IF(AND($A46&lt;&gt;"",$S46&lt;&gt;"",$Y46=1),SUMPRODUCT(($A$8:$A46&lt;&gt;"")*($S$8:$S46&lt;&gt;"")*($Y$8:$Y46=1)),"")</f>
        <v/>
      </c>
      <c r="AA46" s="25">
        <f>IF(AND($A46&lt;&gt;"",$T46&lt;&gt;"",$Y46=1),SUMPRODUCT(($A$8:$A46&lt;&gt;"")*($T$8:$T46&lt;&gt;"")*($Y$8:$Y46=1)),"")</f>
        <v/>
      </c>
    </row>
    <row r="47">
      <c r="A47" s="13" t="n"/>
      <c r="B47" s="13" t="n"/>
      <c r="C47" s="26" t="n"/>
      <c r="D47" s="26" t="n"/>
      <c r="E47" s="26" t="n"/>
      <c r="F47" s="13" t="n"/>
      <c r="G47" s="13" t="n"/>
      <c r="H47" s="13" t="n"/>
      <c r="I47" s="13" t="n"/>
      <c r="J47" s="23">
        <f>IF($A47="","",IFERROR(INDEX('Ref_Crosswalk'!$F$2:$F$500,MATCH($A47,'Ref_Crosswalk'!$A$2:$A$500,0)),"UNKNOWN"))</f>
        <v/>
      </c>
      <c r="K47" s="24">
        <f>IF($A47="","",IFERROR(INDEX('Ref_Tolerance'!$B$2:$B$9,MATCH($J47,'Ref_Tolerance'!$A$2:$A$9,0)),""))</f>
        <v/>
      </c>
      <c r="L47" s="23">
        <f>IF($A47="","",IFERROR(INDEX('Ref_Tolerance'!$D$2:$D$9,MATCH($J47,'Ref_Tolerance'!$A$2:$A$9,0)),""))</f>
        <v/>
      </c>
      <c r="M47" s="24">
        <f>IF($A47="","",IFERROR(ABS(N($D47))/N($C47),0))</f>
        <v/>
      </c>
      <c r="N47" s="24">
        <f>IF($A47="","",IFERROR(N($E47)/N($C47),0))</f>
        <v/>
      </c>
      <c r="O47" s="23">
        <f>IF($A47="",0,IFERROR(SUMPRODUCT(($A$8:$A$307=$A47)*($P$8:$P$307="FAIL")*($U$8:$U$307&gt;$V47)*($U$8:$U$307&lt;=$U47)),0))</f>
        <v/>
      </c>
      <c r="P47" s="23">
        <f>IF($A47="","",IFERROR(IF(NOT(ISNUMBER($K47)),"CHECK",IF($L47="MARGIN",IF($N47&lt;=$K47,"PASS","FAIL"),IF($M47&lt;=$K47,"PASS","FAIL"))),"CHECK"))</f>
        <v/>
      </c>
      <c r="Q47" s="23">
        <f>IF($A47="","",IFERROR(INDEX('Ref_Tolerance'!$E$2:$E$9,MATCH($J47,'Ref_Tolerance'!$A$2:$A$9,0)),""))</f>
        <v/>
      </c>
      <c r="R47" s="23">
        <f>IF($A47="","",IFERROR(IF($O47=0,"CLEAR",IF($O47=1,"MFR DUE - MANAGER",IF($O47=2,"MFR DUE - FSS/CC SIGNATURE REQUIRED","INVESTIGATION + REPORT OF SURVEY; MSG/CC NOTIFIED"))),""))</f>
        <v/>
      </c>
      <c r="S47" s="23">
        <f>IF($A47="","",IF($O47=2,"WATCH - ONE MORE MISS TRIGGERS INVESTIGATION",""))</f>
        <v/>
      </c>
      <c r="T47" s="23">
        <f>IF($A47="","",IFERROR(IF(AND($O47&gt;=1,$F47&lt;&gt;"Y"),"MFR NOT SUBMITTED",IF(AND($O47&gt;=2,$G47&lt;&gt;"Y"),"FSS/CC SIGNATURE MISSING",IF(AND($O47&gt;=3,$H47&lt;&gt;"Y"),"INVESTIGATION NOT OPENED",""))),""))</f>
        <v/>
      </c>
      <c r="U47" s="25">
        <f>IF($A47="",0,IFERROR(MATCH($B47,'Ref_Calendar'!$A$2:$A$500,0),0))</f>
        <v/>
      </c>
      <c r="V47" s="25">
        <f>IF($A47="",0,IFERROR(SUMPRODUCT(MAX(($A$8:$A$307=$A47)*($P$8:$P$307="PASS")*($U$8:$U$307&lt;=$U47)*$U$8:$U$307)),0))</f>
        <v/>
      </c>
      <c r="W47" s="25">
        <f>IF($A47="","",IFERROR(INDEX('Ref_Crosswalk'!$E$2:$E$500,MATCH($A47,'Ref_Crosswalk'!$A$2:$A$500,0)),""))</f>
        <v/>
      </c>
      <c r="X47" s="25">
        <f>IF($A47="","",IFERROR(INDEX('Ref_Crosswalk'!$C$2:$C$500,MATCH($A47,'Ref_Crosswalk'!$A$2:$A$500,0)),""))</f>
        <v/>
      </c>
      <c r="Y47" s="25">
        <f>IF($A47="",0,IF(AND(OR('Out_Dashboard'!$C$5="",$W47='Out_Dashboard'!$C$5),OR('Out_Dashboard'!$C$6="",$X47='Out_Dashboard'!$C$6),OR('Out_Dashboard'!$C$7="",$B47='Out_Dashboard'!$C$7)),1,0))</f>
        <v/>
      </c>
      <c r="Z47" s="25">
        <f>IF(AND($A47&lt;&gt;"",$S47&lt;&gt;"",$Y47=1),SUMPRODUCT(($A$8:$A47&lt;&gt;"")*($S$8:$S47&lt;&gt;"")*($Y$8:$Y47=1)),"")</f>
        <v/>
      </c>
      <c r="AA47" s="25">
        <f>IF(AND($A47&lt;&gt;"",$T47&lt;&gt;"",$Y47=1),SUMPRODUCT(($A$8:$A47&lt;&gt;"")*($T$8:$T47&lt;&gt;"")*($Y$8:$Y47=1)),"")</f>
        <v/>
      </c>
    </row>
    <row r="48">
      <c r="A48" s="13" t="n"/>
      <c r="B48" s="13" t="n"/>
      <c r="C48" s="26" t="n"/>
      <c r="D48" s="26" t="n"/>
      <c r="E48" s="26" t="n"/>
      <c r="F48" s="13" t="n"/>
      <c r="G48" s="13" t="n"/>
      <c r="H48" s="13" t="n"/>
      <c r="I48" s="13" t="n"/>
      <c r="J48" s="23">
        <f>IF($A48="","",IFERROR(INDEX('Ref_Crosswalk'!$F$2:$F$500,MATCH($A48,'Ref_Crosswalk'!$A$2:$A$500,0)),"UNKNOWN"))</f>
        <v/>
      </c>
      <c r="K48" s="24">
        <f>IF($A48="","",IFERROR(INDEX('Ref_Tolerance'!$B$2:$B$9,MATCH($J48,'Ref_Tolerance'!$A$2:$A$9,0)),""))</f>
        <v/>
      </c>
      <c r="L48" s="23">
        <f>IF($A48="","",IFERROR(INDEX('Ref_Tolerance'!$D$2:$D$9,MATCH($J48,'Ref_Tolerance'!$A$2:$A$9,0)),""))</f>
        <v/>
      </c>
      <c r="M48" s="24">
        <f>IF($A48="","",IFERROR(ABS(N($D48))/N($C48),0))</f>
        <v/>
      </c>
      <c r="N48" s="24">
        <f>IF($A48="","",IFERROR(N($E48)/N($C48),0))</f>
        <v/>
      </c>
      <c r="O48" s="23">
        <f>IF($A48="",0,IFERROR(SUMPRODUCT(($A$8:$A$307=$A48)*($P$8:$P$307="FAIL")*($U$8:$U$307&gt;$V48)*($U$8:$U$307&lt;=$U48)),0))</f>
        <v/>
      </c>
      <c r="P48" s="23">
        <f>IF($A48="","",IFERROR(IF(NOT(ISNUMBER($K48)),"CHECK",IF($L48="MARGIN",IF($N48&lt;=$K48,"PASS","FAIL"),IF($M48&lt;=$K48,"PASS","FAIL"))),"CHECK"))</f>
        <v/>
      </c>
      <c r="Q48" s="23">
        <f>IF($A48="","",IFERROR(INDEX('Ref_Tolerance'!$E$2:$E$9,MATCH($J48,'Ref_Tolerance'!$A$2:$A$9,0)),""))</f>
        <v/>
      </c>
      <c r="R48" s="23">
        <f>IF($A48="","",IFERROR(IF($O48=0,"CLEAR",IF($O48=1,"MFR DUE - MANAGER",IF($O48=2,"MFR DUE - FSS/CC SIGNATURE REQUIRED","INVESTIGATION + REPORT OF SURVEY; MSG/CC NOTIFIED"))),""))</f>
        <v/>
      </c>
      <c r="S48" s="23">
        <f>IF($A48="","",IF($O48=2,"WATCH - ONE MORE MISS TRIGGERS INVESTIGATION",""))</f>
        <v/>
      </c>
      <c r="T48" s="23">
        <f>IF($A48="","",IFERROR(IF(AND($O48&gt;=1,$F48&lt;&gt;"Y"),"MFR NOT SUBMITTED",IF(AND($O48&gt;=2,$G48&lt;&gt;"Y"),"FSS/CC SIGNATURE MISSING",IF(AND($O48&gt;=3,$H48&lt;&gt;"Y"),"INVESTIGATION NOT OPENED",""))),""))</f>
        <v/>
      </c>
      <c r="U48" s="25">
        <f>IF($A48="",0,IFERROR(MATCH($B48,'Ref_Calendar'!$A$2:$A$500,0),0))</f>
        <v/>
      </c>
      <c r="V48" s="25">
        <f>IF($A48="",0,IFERROR(SUMPRODUCT(MAX(($A$8:$A$307=$A48)*($P$8:$P$307="PASS")*($U$8:$U$307&lt;=$U48)*$U$8:$U$307)),0))</f>
        <v/>
      </c>
      <c r="W48" s="25">
        <f>IF($A48="","",IFERROR(INDEX('Ref_Crosswalk'!$E$2:$E$500,MATCH($A48,'Ref_Crosswalk'!$A$2:$A$500,0)),""))</f>
        <v/>
      </c>
      <c r="X48" s="25">
        <f>IF($A48="","",IFERROR(INDEX('Ref_Crosswalk'!$C$2:$C$500,MATCH($A48,'Ref_Crosswalk'!$A$2:$A$500,0)),""))</f>
        <v/>
      </c>
      <c r="Y48" s="25">
        <f>IF($A48="",0,IF(AND(OR('Out_Dashboard'!$C$5="",$W48='Out_Dashboard'!$C$5),OR('Out_Dashboard'!$C$6="",$X48='Out_Dashboard'!$C$6),OR('Out_Dashboard'!$C$7="",$B48='Out_Dashboard'!$C$7)),1,0))</f>
        <v/>
      </c>
      <c r="Z48" s="25">
        <f>IF(AND($A48&lt;&gt;"",$S48&lt;&gt;"",$Y48=1),SUMPRODUCT(($A$8:$A48&lt;&gt;"")*($S$8:$S48&lt;&gt;"")*($Y$8:$Y48=1)),"")</f>
        <v/>
      </c>
      <c r="AA48" s="25">
        <f>IF(AND($A48&lt;&gt;"",$T48&lt;&gt;"",$Y48=1),SUMPRODUCT(($A$8:$A48&lt;&gt;"")*($T$8:$T48&lt;&gt;"")*($Y$8:$Y48=1)),"")</f>
        <v/>
      </c>
    </row>
    <row r="49">
      <c r="A49" s="13" t="n"/>
      <c r="B49" s="13" t="n"/>
      <c r="C49" s="26" t="n"/>
      <c r="D49" s="26" t="n"/>
      <c r="E49" s="26" t="n"/>
      <c r="F49" s="13" t="n"/>
      <c r="G49" s="13" t="n"/>
      <c r="H49" s="13" t="n"/>
      <c r="I49" s="13" t="n"/>
      <c r="J49" s="23">
        <f>IF($A49="","",IFERROR(INDEX('Ref_Crosswalk'!$F$2:$F$500,MATCH($A49,'Ref_Crosswalk'!$A$2:$A$500,0)),"UNKNOWN"))</f>
        <v/>
      </c>
      <c r="K49" s="24">
        <f>IF($A49="","",IFERROR(INDEX('Ref_Tolerance'!$B$2:$B$9,MATCH($J49,'Ref_Tolerance'!$A$2:$A$9,0)),""))</f>
        <v/>
      </c>
      <c r="L49" s="23">
        <f>IF($A49="","",IFERROR(INDEX('Ref_Tolerance'!$D$2:$D$9,MATCH($J49,'Ref_Tolerance'!$A$2:$A$9,0)),""))</f>
        <v/>
      </c>
      <c r="M49" s="24">
        <f>IF($A49="","",IFERROR(ABS(N($D49))/N($C49),0))</f>
        <v/>
      </c>
      <c r="N49" s="24">
        <f>IF($A49="","",IFERROR(N($E49)/N($C49),0))</f>
        <v/>
      </c>
      <c r="O49" s="23">
        <f>IF($A49="",0,IFERROR(SUMPRODUCT(($A$8:$A$307=$A49)*($P$8:$P$307="FAIL")*($U$8:$U$307&gt;$V49)*($U$8:$U$307&lt;=$U49)),0))</f>
        <v/>
      </c>
      <c r="P49" s="23">
        <f>IF($A49="","",IFERROR(IF(NOT(ISNUMBER($K49)),"CHECK",IF($L49="MARGIN",IF($N49&lt;=$K49,"PASS","FAIL"),IF($M49&lt;=$K49,"PASS","FAIL"))),"CHECK"))</f>
        <v/>
      </c>
      <c r="Q49" s="23">
        <f>IF($A49="","",IFERROR(INDEX('Ref_Tolerance'!$E$2:$E$9,MATCH($J49,'Ref_Tolerance'!$A$2:$A$9,0)),""))</f>
        <v/>
      </c>
      <c r="R49" s="23">
        <f>IF($A49="","",IFERROR(IF($O49=0,"CLEAR",IF($O49=1,"MFR DUE - MANAGER",IF($O49=2,"MFR DUE - FSS/CC SIGNATURE REQUIRED","INVESTIGATION + REPORT OF SURVEY; MSG/CC NOTIFIED"))),""))</f>
        <v/>
      </c>
      <c r="S49" s="23">
        <f>IF($A49="","",IF($O49=2,"WATCH - ONE MORE MISS TRIGGERS INVESTIGATION",""))</f>
        <v/>
      </c>
      <c r="T49" s="23">
        <f>IF($A49="","",IFERROR(IF(AND($O49&gt;=1,$F49&lt;&gt;"Y"),"MFR NOT SUBMITTED",IF(AND($O49&gt;=2,$G49&lt;&gt;"Y"),"FSS/CC SIGNATURE MISSING",IF(AND($O49&gt;=3,$H49&lt;&gt;"Y"),"INVESTIGATION NOT OPENED",""))),""))</f>
        <v/>
      </c>
      <c r="U49" s="25">
        <f>IF($A49="",0,IFERROR(MATCH($B49,'Ref_Calendar'!$A$2:$A$500,0),0))</f>
        <v/>
      </c>
      <c r="V49" s="25">
        <f>IF($A49="",0,IFERROR(SUMPRODUCT(MAX(($A$8:$A$307=$A49)*($P$8:$P$307="PASS")*($U$8:$U$307&lt;=$U49)*$U$8:$U$307)),0))</f>
        <v/>
      </c>
      <c r="W49" s="25">
        <f>IF($A49="","",IFERROR(INDEX('Ref_Crosswalk'!$E$2:$E$500,MATCH($A49,'Ref_Crosswalk'!$A$2:$A$500,0)),""))</f>
        <v/>
      </c>
      <c r="X49" s="25">
        <f>IF($A49="","",IFERROR(INDEX('Ref_Crosswalk'!$C$2:$C$500,MATCH($A49,'Ref_Crosswalk'!$A$2:$A$500,0)),""))</f>
        <v/>
      </c>
      <c r="Y49" s="25">
        <f>IF($A49="",0,IF(AND(OR('Out_Dashboard'!$C$5="",$W49='Out_Dashboard'!$C$5),OR('Out_Dashboard'!$C$6="",$X49='Out_Dashboard'!$C$6),OR('Out_Dashboard'!$C$7="",$B49='Out_Dashboard'!$C$7)),1,0))</f>
        <v/>
      </c>
      <c r="Z49" s="25">
        <f>IF(AND($A49&lt;&gt;"",$S49&lt;&gt;"",$Y49=1),SUMPRODUCT(($A$8:$A49&lt;&gt;"")*($S$8:$S49&lt;&gt;"")*($Y$8:$Y49=1)),"")</f>
        <v/>
      </c>
      <c r="AA49" s="25">
        <f>IF(AND($A49&lt;&gt;"",$T49&lt;&gt;"",$Y49=1),SUMPRODUCT(($A$8:$A49&lt;&gt;"")*($T$8:$T49&lt;&gt;"")*($Y$8:$Y49=1)),"")</f>
        <v/>
      </c>
    </row>
    <row r="50">
      <c r="A50" s="13" t="n"/>
      <c r="B50" s="13" t="n"/>
      <c r="C50" s="26" t="n"/>
      <c r="D50" s="26" t="n"/>
      <c r="E50" s="26" t="n"/>
      <c r="F50" s="13" t="n"/>
      <c r="G50" s="13" t="n"/>
      <c r="H50" s="13" t="n"/>
      <c r="I50" s="13" t="n"/>
      <c r="J50" s="23">
        <f>IF($A50="","",IFERROR(INDEX('Ref_Crosswalk'!$F$2:$F$500,MATCH($A50,'Ref_Crosswalk'!$A$2:$A$500,0)),"UNKNOWN"))</f>
        <v/>
      </c>
      <c r="K50" s="24">
        <f>IF($A50="","",IFERROR(INDEX('Ref_Tolerance'!$B$2:$B$9,MATCH($J50,'Ref_Tolerance'!$A$2:$A$9,0)),""))</f>
        <v/>
      </c>
      <c r="L50" s="23">
        <f>IF($A50="","",IFERROR(INDEX('Ref_Tolerance'!$D$2:$D$9,MATCH($J50,'Ref_Tolerance'!$A$2:$A$9,0)),""))</f>
        <v/>
      </c>
      <c r="M50" s="24">
        <f>IF($A50="","",IFERROR(ABS(N($D50))/N($C50),0))</f>
        <v/>
      </c>
      <c r="N50" s="24">
        <f>IF($A50="","",IFERROR(N($E50)/N($C50),0))</f>
        <v/>
      </c>
      <c r="O50" s="23">
        <f>IF($A50="",0,IFERROR(SUMPRODUCT(($A$8:$A$307=$A50)*($P$8:$P$307="FAIL")*($U$8:$U$307&gt;$V50)*($U$8:$U$307&lt;=$U50)),0))</f>
        <v/>
      </c>
      <c r="P50" s="23">
        <f>IF($A50="","",IFERROR(IF(NOT(ISNUMBER($K50)),"CHECK",IF($L50="MARGIN",IF($N50&lt;=$K50,"PASS","FAIL"),IF($M50&lt;=$K50,"PASS","FAIL"))),"CHECK"))</f>
        <v/>
      </c>
      <c r="Q50" s="23">
        <f>IF($A50="","",IFERROR(INDEX('Ref_Tolerance'!$E$2:$E$9,MATCH($J50,'Ref_Tolerance'!$A$2:$A$9,0)),""))</f>
        <v/>
      </c>
      <c r="R50" s="23">
        <f>IF($A50="","",IFERROR(IF($O50=0,"CLEAR",IF($O50=1,"MFR DUE - MANAGER",IF($O50=2,"MFR DUE - FSS/CC SIGNATURE REQUIRED","INVESTIGATION + REPORT OF SURVEY; MSG/CC NOTIFIED"))),""))</f>
        <v/>
      </c>
      <c r="S50" s="23">
        <f>IF($A50="","",IF($O50=2,"WATCH - ONE MORE MISS TRIGGERS INVESTIGATION",""))</f>
        <v/>
      </c>
      <c r="T50" s="23">
        <f>IF($A50="","",IFERROR(IF(AND($O50&gt;=1,$F50&lt;&gt;"Y"),"MFR NOT SUBMITTED",IF(AND($O50&gt;=2,$G50&lt;&gt;"Y"),"FSS/CC SIGNATURE MISSING",IF(AND($O50&gt;=3,$H50&lt;&gt;"Y"),"INVESTIGATION NOT OPENED",""))),""))</f>
        <v/>
      </c>
      <c r="U50" s="25">
        <f>IF($A50="",0,IFERROR(MATCH($B50,'Ref_Calendar'!$A$2:$A$500,0),0))</f>
        <v/>
      </c>
      <c r="V50" s="25">
        <f>IF($A50="",0,IFERROR(SUMPRODUCT(MAX(($A$8:$A$307=$A50)*($P$8:$P$307="PASS")*($U$8:$U$307&lt;=$U50)*$U$8:$U$307)),0))</f>
        <v/>
      </c>
      <c r="W50" s="25">
        <f>IF($A50="","",IFERROR(INDEX('Ref_Crosswalk'!$E$2:$E$500,MATCH($A50,'Ref_Crosswalk'!$A$2:$A$500,0)),""))</f>
        <v/>
      </c>
      <c r="X50" s="25">
        <f>IF($A50="","",IFERROR(INDEX('Ref_Crosswalk'!$C$2:$C$500,MATCH($A50,'Ref_Crosswalk'!$A$2:$A$500,0)),""))</f>
        <v/>
      </c>
      <c r="Y50" s="25">
        <f>IF($A50="",0,IF(AND(OR('Out_Dashboard'!$C$5="",$W50='Out_Dashboard'!$C$5),OR('Out_Dashboard'!$C$6="",$X50='Out_Dashboard'!$C$6),OR('Out_Dashboard'!$C$7="",$B50='Out_Dashboard'!$C$7)),1,0))</f>
        <v/>
      </c>
      <c r="Z50" s="25">
        <f>IF(AND($A50&lt;&gt;"",$S50&lt;&gt;"",$Y50=1),SUMPRODUCT(($A$8:$A50&lt;&gt;"")*($S$8:$S50&lt;&gt;"")*($Y$8:$Y50=1)),"")</f>
        <v/>
      </c>
      <c r="AA50" s="25">
        <f>IF(AND($A50&lt;&gt;"",$T50&lt;&gt;"",$Y50=1),SUMPRODUCT(($A$8:$A50&lt;&gt;"")*($T$8:$T50&lt;&gt;"")*($Y$8:$Y50=1)),"")</f>
        <v/>
      </c>
    </row>
    <row r="51">
      <c r="A51" s="13" t="n"/>
      <c r="B51" s="13" t="n"/>
      <c r="C51" s="26" t="n"/>
      <c r="D51" s="26" t="n"/>
      <c r="E51" s="26" t="n"/>
      <c r="F51" s="13" t="n"/>
      <c r="G51" s="13" t="n"/>
      <c r="H51" s="13" t="n"/>
      <c r="I51" s="13" t="n"/>
      <c r="J51" s="23">
        <f>IF($A51="","",IFERROR(INDEX('Ref_Crosswalk'!$F$2:$F$500,MATCH($A51,'Ref_Crosswalk'!$A$2:$A$500,0)),"UNKNOWN"))</f>
        <v/>
      </c>
      <c r="K51" s="24">
        <f>IF($A51="","",IFERROR(INDEX('Ref_Tolerance'!$B$2:$B$9,MATCH($J51,'Ref_Tolerance'!$A$2:$A$9,0)),""))</f>
        <v/>
      </c>
      <c r="L51" s="23">
        <f>IF($A51="","",IFERROR(INDEX('Ref_Tolerance'!$D$2:$D$9,MATCH($J51,'Ref_Tolerance'!$A$2:$A$9,0)),""))</f>
        <v/>
      </c>
      <c r="M51" s="24">
        <f>IF($A51="","",IFERROR(ABS(N($D51))/N($C51),0))</f>
        <v/>
      </c>
      <c r="N51" s="24">
        <f>IF($A51="","",IFERROR(N($E51)/N($C51),0))</f>
        <v/>
      </c>
      <c r="O51" s="23">
        <f>IF($A51="",0,IFERROR(SUMPRODUCT(($A$8:$A$307=$A51)*($P$8:$P$307="FAIL")*($U$8:$U$307&gt;$V51)*($U$8:$U$307&lt;=$U51)),0))</f>
        <v/>
      </c>
      <c r="P51" s="23">
        <f>IF($A51="","",IFERROR(IF(NOT(ISNUMBER($K51)),"CHECK",IF($L51="MARGIN",IF($N51&lt;=$K51,"PASS","FAIL"),IF($M51&lt;=$K51,"PASS","FAIL"))),"CHECK"))</f>
        <v/>
      </c>
      <c r="Q51" s="23">
        <f>IF($A51="","",IFERROR(INDEX('Ref_Tolerance'!$E$2:$E$9,MATCH($J51,'Ref_Tolerance'!$A$2:$A$9,0)),""))</f>
        <v/>
      </c>
      <c r="R51" s="23">
        <f>IF($A51="","",IFERROR(IF($O51=0,"CLEAR",IF($O51=1,"MFR DUE - MANAGER",IF($O51=2,"MFR DUE - FSS/CC SIGNATURE REQUIRED","INVESTIGATION + REPORT OF SURVEY; MSG/CC NOTIFIED"))),""))</f>
        <v/>
      </c>
      <c r="S51" s="23">
        <f>IF($A51="","",IF($O51=2,"WATCH - ONE MORE MISS TRIGGERS INVESTIGATION",""))</f>
        <v/>
      </c>
      <c r="T51" s="23">
        <f>IF($A51="","",IFERROR(IF(AND($O51&gt;=1,$F51&lt;&gt;"Y"),"MFR NOT SUBMITTED",IF(AND($O51&gt;=2,$G51&lt;&gt;"Y"),"FSS/CC SIGNATURE MISSING",IF(AND($O51&gt;=3,$H51&lt;&gt;"Y"),"INVESTIGATION NOT OPENED",""))),""))</f>
        <v/>
      </c>
      <c r="U51" s="25">
        <f>IF($A51="",0,IFERROR(MATCH($B51,'Ref_Calendar'!$A$2:$A$500,0),0))</f>
        <v/>
      </c>
      <c r="V51" s="25">
        <f>IF($A51="",0,IFERROR(SUMPRODUCT(MAX(($A$8:$A$307=$A51)*($P$8:$P$307="PASS")*($U$8:$U$307&lt;=$U51)*$U$8:$U$307)),0))</f>
        <v/>
      </c>
      <c r="W51" s="25">
        <f>IF($A51="","",IFERROR(INDEX('Ref_Crosswalk'!$E$2:$E$500,MATCH($A51,'Ref_Crosswalk'!$A$2:$A$500,0)),""))</f>
        <v/>
      </c>
      <c r="X51" s="25">
        <f>IF($A51="","",IFERROR(INDEX('Ref_Crosswalk'!$C$2:$C$500,MATCH($A51,'Ref_Crosswalk'!$A$2:$A$500,0)),""))</f>
        <v/>
      </c>
      <c r="Y51" s="25">
        <f>IF($A51="",0,IF(AND(OR('Out_Dashboard'!$C$5="",$W51='Out_Dashboard'!$C$5),OR('Out_Dashboard'!$C$6="",$X51='Out_Dashboard'!$C$6),OR('Out_Dashboard'!$C$7="",$B51='Out_Dashboard'!$C$7)),1,0))</f>
        <v/>
      </c>
      <c r="Z51" s="25">
        <f>IF(AND($A51&lt;&gt;"",$S51&lt;&gt;"",$Y51=1),SUMPRODUCT(($A$8:$A51&lt;&gt;"")*($S$8:$S51&lt;&gt;"")*($Y$8:$Y51=1)),"")</f>
        <v/>
      </c>
      <c r="AA51" s="25">
        <f>IF(AND($A51&lt;&gt;"",$T51&lt;&gt;"",$Y51=1),SUMPRODUCT(($A$8:$A51&lt;&gt;"")*($T$8:$T51&lt;&gt;"")*($Y$8:$Y51=1)),"")</f>
        <v/>
      </c>
    </row>
    <row r="52">
      <c r="A52" s="13" t="n"/>
      <c r="B52" s="13" t="n"/>
      <c r="C52" s="26" t="n"/>
      <c r="D52" s="26" t="n"/>
      <c r="E52" s="26" t="n"/>
      <c r="F52" s="13" t="n"/>
      <c r="G52" s="13" t="n"/>
      <c r="H52" s="13" t="n"/>
      <c r="I52" s="13" t="n"/>
      <c r="J52" s="23">
        <f>IF($A52="","",IFERROR(INDEX('Ref_Crosswalk'!$F$2:$F$500,MATCH($A52,'Ref_Crosswalk'!$A$2:$A$500,0)),"UNKNOWN"))</f>
        <v/>
      </c>
      <c r="K52" s="24">
        <f>IF($A52="","",IFERROR(INDEX('Ref_Tolerance'!$B$2:$B$9,MATCH($J52,'Ref_Tolerance'!$A$2:$A$9,0)),""))</f>
        <v/>
      </c>
      <c r="L52" s="23">
        <f>IF($A52="","",IFERROR(INDEX('Ref_Tolerance'!$D$2:$D$9,MATCH($J52,'Ref_Tolerance'!$A$2:$A$9,0)),""))</f>
        <v/>
      </c>
      <c r="M52" s="24">
        <f>IF($A52="","",IFERROR(ABS(N($D52))/N($C52),0))</f>
        <v/>
      </c>
      <c r="N52" s="24">
        <f>IF($A52="","",IFERROR(N($E52)/N($C52),0))</f>
        <v/>
      </c>
      <c r="O52" s="23">
        <f>IF($A52="",0,IFERROR(SUMPRODUCT(($A$8:$A$307=$A52)*($P$8:$P$307="FAIL")*($U$8:$U$307&gt;$V52)*($U$8:$U$307&lt;=$U52)),0))</f>
        <v/>
      </c>
      <c r="P52" s="23">
        <f>IF($A52="","",IFERROR(IF(NOT(ISNUMBER($K52)),"CHECK",IF($L52="MARGIN",IF($N52&lt;=$K52,"PASS","FAIL"),IF($M52&lt;=$K52,"PASS","FAIL"))),"CHECK"))</f>
        <v/>
      </c>
      <c r="Q52" s="23">
        <f>IF($A52="","",IFERROR(INDEX('Ref_Tolerance'!$E$2:$E$9,MATCH($J52,'Ref_Tolerance'!$A$2:$A$9,0)),""))</f>
        <v/>
      </c>
      <c r="R52" s="23">
        <f>IF($A52="","",IFERROR(IF($O52=0,"CLEAR",IF($O52=1,"MFR DUE - MANAGER",IF($O52=2,"MFR DUE - FSS/CC SIGNATURE REQUIRED","INVESTIGATION + REPORT OF SURVEY; MSG/CC NOTIFIED"))),""))</f>
        <v/>
      </c>
      <c r="S52" s="23">
        <f>IF($A52="","",IF($O52=2,"WATCH - ONE MORE MISS TRIGGERS INVESTIGATION",""))</f>
        <v/>
      </c>
      <c r="T52" s="23">
        <f>IF($A52="","",IFERROR(IF(AND($O52&gt;=1,$F52&lt;&gt;"Y"),"MFR NOT SUBMITTED",IF(AND($O52&gt;=2,$G52&lt;&gt;"Y"),"FSS/CC SIGNATURE MISSING",IF(AND($O52&gt;=3,$H52&lt;&gt;"Y"),"INVESTIGATION NOT OPENED",""))),""))</f>
        <v/>
      </c>
      <c r="U52" s="25">
        <f>IF($A52="",0,IFERROR(MATCH($B52,'Ref_Calendar'!$A$2:$A$500,0),0))</f>
        <v/>
      </c>
      <c r="V52" s="25">
        <f>IF($A52="",0,IFERROR(SUMPRODUCT(MAX(($A$8:$A$307=$A52)*($P$8:$P$307="PASS")*($U$8:$U$307&lt;=$U52)*$U$8:$U$307)),0))</f>
        <v/>
      </c>
      <c r="W52" s="25">
        <f>IF($A52="","",IFERROR(INDEX('Ref_Crosswalk'!$E$2:$E$500,MATCH($A52,'Ref_Crosswalk'!$A$2:$A$500,0)),""))</f>
        <v/>
      </c>
      <c r="X52" s="25">
        <f>IF($A52="","",IFERROR(INDEX('Ref_Crosswalk'!$C$2:$C$500,MATCH($A52,'Ref_Crosswalk'!$A$2:$A$500,0)),""))</f>
        <v/>
      </c>
      <c r="Y52" s="25">
        <f>IF($A52="",0,IF(AND(OR('Out_Dashboard'!$C$5="",$W52='Out_Dashboard'!$C$5),OR('Out_Dashboard'!$C$6="",$X52='Out_Dashboard'!$C$6),OR('Out_Dashboard'!$C$7="",$B52='Out_Dashboard'!$C$7)),1,0))</f>
        <v/>
      </c>
      <c r="Z52" s="25">
        <f>IF(AND($A52&lt;&gt;"",$S52&lt;&gt;"",$Y52=1),SUMPRODUCT(($A$8:$A52&lt;&gt;"")*($S$8:$S52&lt;&gt;"")*($Y$8:$Y52=1)),"")</f>
        <v/>
      </c>
      <c r="AA52" s="25">
        <f>IF(AND($A52&lt;&gt;"",$T52&lt;&gt;"",$Y52=1),SUMPRODUCT(($A$8:$A52&lt;&gt;"")*($T$8:$T52&lt;&gt;"")*($Y$8:$Y52=1)),"")</f>
        <v/>
      </c>
    </row>
    <row r="53">
      <c r="A53" s="13" t="n"/>
      <c r="B53" s="13" t="n"/>
      <c r="C53" s="26" t="n"/>
      <c r="D53" s="26" t="n"/>
      <c r="E53" s="26" t="n"/>
      <c r="F53" s="13" t="n"/>
      <c r="G53" s="13" t="n"/>
      <c r="H53" s="13" t="n"/>
      <c r="I53" s="13" t="n"/>
      <c r="J53" s="23">
        <f>IF($A53="","",IFERROR(INDEX('Ref_Crosswalk'!$F$2:$F$500,MATCH($A53,'Ref_Crosswalk'!$A$2:$A$500,0)),"UNKNOWN"))</f>
        <v/>
      </c>
      <c r="K53" s="24">
        <f>IF($A53="","",IFERROR(INDEX('Ref_Tolerance'!$B$2:$B$9,MATCH($J53,'Ref_Tolerance'!$A$2:$A$9,0)),""))</f>
        <v/>
      </c>
      <c r="L53" s="23">
        <f>IF($A53="","",IFERROR(INDEX('Ref_Tolerance'!$D$2:$D$9,MATCH($J53,'Ref_Tolerance'!$A$2:$A$9,0)),""))</f>
        <v/>
      </c>
      <c r="M53" s="24">
        <f>IF($A53="","",IFERROR(ABS(N($D53))/N($C53),0))</f>
        <v/>
      </c>
      <c r="N53" s="24">
        <f>IF($A53="","",IFERROR(N($E53)/N($C53),0))</f>
        <v/>
      </c>
      <c r="O53" s="23">
        <f>IF($A53="",0,IFERROR(SUMPRODUCT(($A$8:$A$307=$A53)*($P$8:$P$307="FAIL")*($U$8:$U$307&gt;$V53)*($U$8:$U$307&lt;=$U53)),0))</f>
        <v/>
      </c>
      <c r="P53" s="23">
        <f>IF($A53="","",IFERROR(IF(NOT(ISNUMBER($K53)),"CHECK",IF($L53="MARGIN",IF($N53&lt;=$K53,"PASS","FAIL"),IF($M53&lt;=$K53,"PASS","FAIL"))),"CHECK"))</f>
        <v/>
      </c>
      <c r="Q53" s="23">
        <f>IF($A53="","",IFERROR(INDEX('Ref_Tolerance'!$E$2:$E$9,MATCH($J53,'Ref_Tolerance'!$A$2:$A$9,0)),""))</f>
        <v/>
      </c>
      <c r="R53" s="23">
        <f>IF($A53="","",IFERROR(IF($O53=0,"CLEAR",IF($O53=1,"MFR DUE - MANAGER",IF($O53=2,"MFR DUE - FSS/CC SIGNATURE REQUIRED","INVESTIGATION + REPORT OF SURVEY; MSG/CC NOTIFIED"))),""))</f>
        <v/>
      </c>
      <c r="S53" s="23">
        <f>IF($A53="","",IF($O53=2,"WATCH - ONE MORE MISS TRIGGERS INVESTIGATION",""))</f>
        <v/>
      </c>
      <c r="T53" s="23">
        <f>IF($A53="","",IFERROR(IF(AND($O53&gt;=1,$F53&lt;&gt;"Y"),"MFR NOT SUBMITTED",IF(AND($O53&gt;=2,$G53&lt;&gt;"Y"),"FSS/CC SIGNATURE MISSING",IF(AND($O53&gt;=3,$H53&lt;&gt;"Y"),"INVESTIGATION NOT OPENED",""))),""))</f>
        <v/>
      </c>
      <c r="U53" s="25">
        <f>IF($A53="",0,IFERROR(MATCH($B53,'Ref_Calendar'!$A$2:$A$500,0),0))</f>
        <v/>
      </c>
      <c r="V53" s="25">
        <f>IF($A53="",0,IFERROR(SUMPRODUCT(MAX(($A$8:$A$307=$A53)*($P$8:$P$307="PASS")*($U$8:$U$307&lt;=$U53)*$U$8:$U$307)),0))</f>
        <v/>
      </c>
      <c r="W53" s="25">
        <f>IF($A53="","",IFERROR(INDEX('Ref_Crosswalk'!$E$2:$E$500,MATCH($A53,'Ref_Crosswalk'!$A$2:$A$500,0)),""))</f>
        <v/>
      </c>
      <c r="X53" s="25">
        <f>IF($A53="","",IFERROR(INDEX('Ref_Crosswalk'!$C$2:$C$500,MATCH($A53,'Ref_Crosswalk'!$A$2:$A$500,0)),""))</f>
        <v/>
      </c>
      <c r="Y53" s="25">
        <f>IF($A53="",0,IF(AND(OR('Out_Dashboard'!$C$5="",$W53='Out_Dashboard'!$C$5),OR('Out_Dashboard'!$C$6="",$X53='Out_Dashboard'!$C$6),OR('Out_Dashboard'!$C$7="",$B53='Out_Dashboard'!$C$7)),1,0))</f>
        <v/>
      </c>
      <c r="Z53" s="25">
        <f>IF(AND($A53&lt;&gt;"",$S53&lt;&gt;"",$Y53=1),SUMPRODUCT(($A$8:$A53&lt;&gt;"")*($S$8:$S53&lt;&gt;"")*($Y$8:$Y53=1)),"")</f>
        <v/>
      </c>
      <c r="AA53" s="25">
        <f>IF(AND($A53&lt;&gt;"",$T53&lt;&gt;"",$Y53=1),SUMPRODUCT(($A$8:$A53&lt;&gt;"")*($T$8:$T53&lt;&gt;"")*($Y$8:$Y53=1)),"")</f>
        <v/>
      </c>
    </row>
    <row r="54">
      <c r="A54" s="13" t="n"/>
      <c r="B54" s="13" t="n"/>
      <c r="C54" s="26" t="n"/>
      <c r="D54" s="26" t="n"/>
      <c r="E54" s="26" t="n"/>
      <c r="F54" s="13" t="n"/>
      <c r="G54" s="13" t="n"/>
      <c r="H54" s="13" t="n"/>
      <c r="I54" s="13" t="n"/>
      <c r="J54" s="23">
        <f>IF($A54="","",IFERROR(INDEX('Ref_Crosswalk'!$F$2:$F$500,MATCH($A54,'Ref_Crosswalk'!$A$2:$A$500,0)),"UNKNOWN"))</f>
        <v/>
      </c>
      <c r="K54" s="24">
        <f>IF($A54="","",IFERROR(INDEX('Ref_Tolerance'!$B$2:$B$9,MATCH($J54,'Ref_Tolerance'!$A$2:$A$9,0)),""))</f>
        <v/>
      </c>
      <c r="L54" s="23">
        <f>IF($A54="","",IFERROR(INDEX('Ref_Tolerance'!$D$2:$D$9,MATCH($J54,'Ref_Tolerance'!$A$2:$A$9,0)),""))</f>
        <v/>
      </c>
      <c r="M54" s="24">
        <f>IF($A54="","",IFERROR(ABS(N($D54))/N($C54),0))</f>
        <v/>
      </c>
      <c r="N54" s="24">
        <f>IF($A54="","",IFERROR(N($E54)/N($C54),0))</f>
        <v/>
      </c>
      <c r="O54" s="23">
        <f>IF($A54="",0,IFERROR(SUMPRODUCT(($A$8:$A$307=$A54)*($P$8:$P$307="FAIL")*($U$8:$U$307&gt;$V54)*($U$8:$U$307&lt;=$U54)),0))</f>
        <v/>
      </c>
      <c r="P54" s="23">
        <f>IF($A54="","",IFERROR(IF(NOT(ISNUMBER($K54)),"CHECK",IF($L54="MARGIN",IF($N54&lt;=$K54,"PASS","FAIL"),IF($M54&lt;=$K54,"PASS","FAIL"))),"CHECK"))</f>
        <v/>
      </c>
      <c r="Q54" s="23">
        <f>IF($A54="","",IFERROR(INDEX('Ref_Tolerance'!$E$2:$E$9,MATCH($J54,'Ref_Tolerance'!$A$2:$A$9,0)),""))</f>
        <v/>
      </c>
      <c r="R54" s="23">
        <f>IF($A54="","",IFERROR(IF($O54=0,"CLEAR",IF($O54=1,"MFR DUE - MANAGER",IF($O54=2,"MFR DUE - FSS/CC SIGNATURE REQUIRED","INVESTIGATION + REPORT OF SURVEY; MSG/CC NOTIFIED"))),""))</f>
        <v/>
      </c>
      <c r="S54" s="23">
        <f>IF($A54="","",IF($O54=2,"WATCH - ONE MORE MISS TRIGGERS INVESTIGATION",""))</f>
        <v/>
      </c>
      <c r="T54" s="23">
        <f>IF($A54="","",IFERROR(IF(AND($O54&gt;=1,$F54&lt;&gt;"Y"),"MFR NOT SUBMITTED",IF(AND($O54&gt;=2,$G54&lt;&gt;"Y"),"FSS/CC SIGNATURE MISSING",IF(AND($O54&gt;=3,$H54&lt;&gt;"Y"),"INVESTIGATION NOT OPENED",""))),""))</f>
        <v/>
      </c>
      <c r="U54" s="25">
        <f>IF($A54="",0,IFERROR(MATCH($B54,'Ref_Calendar'!$A$2:$A$500,0),0))</f>
        <v/>
      </c>
      <c r="V54" s="25">
        <f>IF($A54="",0,IFERROR(SUMPRODUCT(MAX(($A$8:$A$307=$A54)*($P$8:$P$307="PASS")*($U$8:$U$307&lt;=$U54)*$U$8:$U$307)),0))</f>
        <v/>
      </c>
      <c r="W54" s="25">
        <f>IF($A54="","",IFERROR(INDEX('Ref_Crosswalk'!$E$2:$E$500,MATCH($A54,'Ref_Crosswalk'!$A$2:$A$500,0)),""))</f>
        <v/>
      </c>
      <c r="X54" s="25">
        <f>IF($A54="","",IFERROR(INDEX('Ref_Crosswalk'!$C$2:$C$500,MATCH($A54,'Ref_Crosswalk'!$A$2:$A$500,0)),""))</f>
        <v/>
      </c>
      <c r="Y54" s="25">
        <f>IF($A54="",0,IF(AND(OR('Out_Dashboard'!$C$5="",$W54='Out_Dashboard'!$C$5),OR('Out_Dashboard'!$C$6="",$X54='Out_Dashboard'!$C$6),OR('Out_Dashboard'!$C$7="",$B54='Out_Dashboard'!$C$7)),1,0))</f>
        <v/>
      </c>
      <c r="Z54" s="25">
        <f>IF(AND($A54&lt;&gt;"",$S54&lt;&gt;"",$Y54=1),SUMPRODUCT(($A$8:$A54&lt;&gt;"")*($S$8:$S54&lt;&gt;"")*($Y$8:$Y54=1)),"")</f>
        <v/>
      </c>
      <c r="AA54" s="25">
        <f>IF(AND($A54&lt;&gt;"",$T54&lt;&gt;"",$Y54=1),SUMPRODUCT(($A$8:$A54&lt;&gt;"")*($T$8:$T54&lt;&gt;"")*($Y$8:$Y54=1)),"")</f>
        <v/>
      </c>
    </row>
    <row r="55">
      <c r="A55" s="13" t="n"/>
      <c r="B55" s="13" t="n"/>
      <c r="C55" s="26" t="n"/>
      <c r="D55" s="26" t="n"/>
      <c r="E55" s="26" t="n"/>
      <c r="F55" s="13" t="n"/>
      <c r="G55" s="13" t="n"/>
      <c r="H55" s="13" t="n"/>
      <c r="I55" s="13" t="n"/>
      <c r="J55" s="23">
        <f>IF($A55="","",IFERROR(INDEX('Ref_Crosswalk'!$F$2:$F$500,MATCH($A55,'Ref_Crosswalk'!$A$2:$A$500,0)),"UNKNOWN"))</f>
        <v/>
      </c>
      <c r="K55" s="24">
        <f>IF($A55="","",IFERROR(INDEX('Ref_Tolerance'!$B$2:$B$9,MATCH($J55,'Ref_Tolerance'!$A$2:$A$9,0)),""))</f>
        <v/>
      </c>
      <c r="L55" s="23">
        <f>IF($A55="","",IFERROR(INDEX('Ref_Tolerance'!$D$2:$D$9,MATCH($J55,'Ref_Tolerance'!$A$2:$A$9,0)),""))</f>
        <v/>
      </c>
      <c r="M55" s="24">
        <f>IF($A55="","",IFERROR(ABS(N($D55))/N($C55),0))</f>
        <v/>
      </c>
      <c r="N55" s="24">
        <f>IF($A55="","",IFERROR(N($E55)/N($C55),0))</f>
        <v/>
      </c>
      <c r="O55" s="23">
        <f>IF($A55="",0,IFERROR(SUMPRODUCT(($A$8:$A$307=$A55)*($P$8:$P$307="FAIL")*($U$8:$U$307&gt;$V55)*($U$8:$U$307&lt;=$U55)),0))</f>
        <v/>
      </c>
      <c r="P55" s="23">
        <f>IF($A55="","",IFERROR(IF(NOT(ISNUMBER($K55)),"CHECK",IF($L55="MARGIN",IF($N55&lt;=$K55,"PASS","FAIL"),IF($M55&lt;=$K55,"PASS","FAIL"))),"CHECK"))</f>
        <v/>
      </c>
      <c r="Q55" s="23">
        <f>IF($A55="","",IFERROR(INDEX('Ref_Tolerance'!$E$2:$E$9,MATCH($J55,'Ref_Tolerance'!$A$2:$A$9,0)),""))</f>
        <v/>
      </c>
      <c r="R55" s="23">
        <f>IF($A55="","",IFERROR(IF($O55=0,"CLEAR",IF($O55=1,"MFR DUE - MANAGER",IF($O55=2,"MFR DUE - FSS/CC SIGNATURE REQUIRED","INVESTIGATION + REPORT OF SURVEY; MSG/CC NOTIFIED"))),""))</f>
        <v/>
      </c>
      <c r="S55" s="23">
        <f>IF($A55="","",IF($O55=2,"WATCH - ONE MORE MISS TRIGGERS INVESTIGATION",""))</f>
        <v/>
      </c>
      <c r="T55" s="23">
        <f>IF($A55="","",IFERROR(IF(AND($O55&gt;=1,$F55&lt;&gt;"Y"),"MFR NOT SUBMITTED",IF(AND($O55&gt;=2,$G55&lt;&gt;"Y"),"FSS/CC SIGNATURE MISSING",IF(AND($O55&gt;=3,$H55&lt;&gt;"Y"),"INVESTIGATION NOT OPENED",""))),""))</f>
        <v/>
      </c>
      <c r="U55" s="25">
        <f>IF($A55="",0,IFERROR(MATCH($B55,'Ref_Calendar'!$A$2:$A$500,0),0))</f>
        <v/>
      </c>
      <c r="V55" s="25">
        <f>IF($A55="",0,IFERROR(SUMPRODUCT(MAX(($A$8:$A$307=$A55)*($P$8:$P$307="PASS")*($U$8:$U$307&lt;=$U55)*$U$8:$U$307)),0))</f>
        <v/>
      </c>
      <c r="W55" s="25">
        <f>IF($A55="","",IFERROR(INDEX('Ref_Crosswalk'!$E$2:$E$500,MATCH($A55,'Ref_Crosswalk'!$A$2:$A$500,0)),""))</f>
        <v/>
      </c>
      <c r="X55" s="25">
        <f>IF($A55="","",IFERROR(INDEX('Ref_Crosswalk'!$C$2:$C$500,MATCH($A55,'Ref_Crosswalk'!$A$2:$A$500,0)),""))</f>
        <v/>
      </c>
      <c r="Y55" s="25">
        <f>IF($A55="",0,IF(AND(OR('Out_Dashboard'!$C$5="",$W55='Out_Dashboard'!$C$5),OR('Out_Dashboard'!$C$6="",$X55='Out_Dashboard'!$C$6),OR('Out_Dashboard'!$C$7="",$B55='Out_Dashboard'!$C$7)),1,0))</f>
        <v/>
      </c>
      <c r="Z55" s="25">
        <f>IF(AND($A55&lt;&gt;"",$S55&lt;&gt;"",$Y55=1),SUMPRODUCT(($A$8:$A55&lt;&gt;"")*($S$8:$S55&lt;&gt;"")*($Y$8:$Y55=1)),"")</f>
        <v/>
      </c>
      <c r="AA55" s="25">
        <f>IF(AND($A55&lt;&gt;"",$T55&lt;&gt;"",$Y55=1),SUMPRODUCT(($A$8:$A55&lt;&gt;"")*($T$8:$T55&lt;&gt;"")*($Y$8:$Y55=1)),"")</f>
        <v/>
      </c>
    </row>
    <row r="56">
      <c r="A56" s="13" t="n"/>
      <c r="B56" s="13" t="n"/>
      <c r="C56" s="26" t="n"/>
      <c r="D56" s="26" t="n"/>
      <c r="E56" s="26" t="n"/>
      <c r="F56" s="13" t="n"/>
      <c r="G56" s="13" t="n"/>
      <c r="H56" s="13" t="n"/>
      <c r="I56" s="13" t="n"/>
      <c r="J56" s="23">
        <f>IF($A56="","",IFERROR(INDEX('Ref_Crosswalk'!$F$2:$F$500,MATCH($A56,'Ref_Crosswalk'!$A$2:$A$500,0)),"UNKNOWN"))</f>
        <v/>
      </c>
      <c r="K56" s="24">
        <f>IF($A56="","",IFERROR(INDEX('Ref_Tolerance'!$B$2:$B$9,MATCH($J56,'Ref_Tolerance'!$A$2:$A$9,0)),""))</f>
        <v/>
      </c>
      <c r="L56" s="23">
        <f>IF($A56="","",IFERROR(INDEX('Ref_Tolerance'!$D$2:$D$9,MATCH($J56,'Ref_Tolerance'!$A$2:$A$9,0)),""))</f>
        <v/>
      </c>
      <c r="M56" s="24">
        <f>IF($A56="","",IFERROR(ABS(N($D56))/N($C56),0))</f>
        <v/>
      </c>
      <c r="N56" s="24">
        <f>IF($A56="","",IFERROR(N($E56)/N($C56),0))</f>
        <v/>
      </c>
      <c r="O56" s="23">
        <f>IF($A56="",0,IFERROR(SUMPRODUCT(($A$8:$A$307=$A56)*($P$8:$P$307="FAIL")*($U$8:$U$307&gt;$V56)*($U$8:$U$307&lt;=$U56)),0))</f>
        <v/>
      </c>
      <c r="P56" s="23">
        <f>IF($A56="","",IFERROR(IF(NOT(ISNUMBER($K56)),"CHECK",IF($L56="MARGIN",IF($N56&lt;=$K56,"PASS","FAIL"),IF($M56&lt;=$K56,"PASS","FAIL"))),"CHECK"))</f>
        <v/>
      </c>
      <c r="Q56" s="23">
        <f>IF($A56="","",IFERROR(INDEX('Ref_Tolerance'!$E$2:$E$9,MATCH($J56,'Ref_Tolerance'!$A$2:$A$9,0)),""))</f>
        <v/>
      </c>
      <c r="R56" s="23">
        <f>IF($A56="","",IFERROR(IF($O56=0,"CLEAR",IF($O56=1,"MFR DUE - MANAGER",IF($O56=2,"MFR DUE - FSS/CC SIGNATURE REQUIRED","INVESTIGATION + REPORT OF SURVEY; MSG/CC NOTIFIED"))),""))</f>
        <v/>
      </c>
      <c r="S56" s="23">
        <f>IF($A56="","",IF($O56=2,"WATCH - ONE MORE MISS TRIGGERS INVESTIGATION",""))</f>
        <v/>
      </c>
      <c r="T56" s="23">
        <f>IF($A56="","",IFERROR(IF(AND($O56&gt;=1,$F56&lt;&gt;"Y"),"MFR NOT SUBMITTED",IF(AND($O56&gt;=2,$G56&lt;&gt;"Y"),"FSS/CC SIGNATURE MISSING",IF(AND($O56&gt;=3,$H56&lt;&gt;"Y"),"INVESTIGATION NOT OPENED",""))),""))</f>
        <v/>
      </c>
      <c r="U56" s="25">
        <f>IF($A56="",0,IFERROR(MATCH($B56,'Ref_Calendar'!$A$2:$A$500,0),0))</f>
        <v/>
      </c>
      <c r="V56" s="25">
        <f>IF($A56="",0,IFERROR(SUMPRODUCT(MAX(($A$8:$A$307=$A56)*($P$8:$P$307="PASS")*($U$8:$U$307&lt;=$U56)*$U$8:$U$307)),0))</f>
        <v/>
      </c>
      <c r="W56" s="25">
        <f>IF($A56="","",IFERROR(INDEX('Ref_Crosswalk'!$E$2:$E$500,MATCH($A56,'Ref_Crosswalk'!$A$2:$A$500,0)),""))</f>
        <v/>
      </c>
      <c r="X56" s="25">
        <f>IF($A56="","",IFERROR(INDEX('Ref_Crosswalk'!$C$2:$C$500,MATCH($A56,'Ref_Crosswalk'!$A$2:$A$500,0)),""))</f>
        <v/>
      </c>
      <c r="Y56" s="25">
        <f>IF($A56="",0,IF(AND(OR('Out_Dashboard'!$C$5="",$W56='Out_Dashboard'!$C$5),OR('Out_Dashboard'!$C$6="",$X56='Out_Dashboard'!$C$6),OR('Out_Dashboard'!$C$7="",$B56='Out_Dashboard'!$C$7)),1,0))</f>
        <v/>
      </c>
      <c r="Z56" s="25">
        <f>IF(AND($A56&lt;&gt;"",$S56&lt;&gt;"",$Y56=1),SUMPRODUCT(($A$8:$A56&lt;&gt;"")*($S$8:$S56&lt;&gt;"")*($Y$8:$Y56=1)),"")</f>
        <v/>
      </c>
      <c r="AA56" s="25">
        <f>IF(AND($A56&lt;&gt;"",$T56&lt;&gt;"",$Y56=1),SUMPRODUCT(($A$8:$A56&lt;&gt;"")*($T$8:$T56&lt;&gt;"")*($Y$8:$Y56=1)),"")</f>
        <v/>
      </c>
    </row>
    <row r="57">
      <c r="A57" s="13" t="n"/>
      <c r="B57" s="13" t="n"/>
      <c r="C57" s="26" t="n"/>
      <c r="D57" s="26" t="n"/>
      <c r="E57" s="26" t="n"/>
      <c r="F57" s="13" t="n"/>
      <c r="G57" s="13" t="n"/>
      <c r="H57" s="13" t="n"/>
      <c r="I57" s="13" t="n"/>
      <c r="J57" s="23">
        <f>IF($A57="","",IFERROR(INDEX('Ref_Crosswalk'!$F$2:$F$500,MATCH($A57,'Ref_Crosswalk'!$A$2:$A$500,0)),"UNKNOWN"))</f>
        <v/>
      </c>
      <c r="K57" s="24">
        <f>IF($A57="","",IFERROR(INDEX('Ref_Tolerance'!$B$2:$B$9,MATCH($J57,'Ref_Tolerance'!$A$2:$A$9,0)),""))</f>
        <v/>
      </c>
      <c r="L57" s="23">
        <f>IF($A57="","",IFERROR(INDEX('Ref_Tolerance'!$D$2:$D$9,MATCH($J57,'Ref_Tolerance'!$A$2:$A$9,0)),""))</f>
        <v/>
      </c>
      <c r="M57" s="24">
        <f>IF($A57="","",IFERROR(ABS(N($D57))/N($C57),0))</f>
        <v/>
      </c>
      <c r="N57" s="24">
        <f>IF($A57="","",IFERROR(N($E57)/N($C57),0))</f>
        <v/>
      </c>
      <c r="O57" s="23">
        <f>IF($A57="",0,IFERROR(SUMPRODUCT(($A$8:$A$307=$A57)*($P$8:$P$307="FAIL")*($U$8:$U$307&gt;$V57)*($U$8:$U$307&lt;=$U57)),0))</f>
        <v/>
      </c>
      <c r="P57" s="23">
        <f>IF($A57="","",IFERROR(IF(NOT(ISNUMBER($K57)),"CHECK",IF($L57="MARGIN",IF($N57&lt;=$K57,"PASS","FAIL"),IF($M57&lt;=$K57,"PASS","FAIL"))),"CHECK"))</f>
        <v/>
      </c>
      <c r="Q57" s="23">
        <f>IF($A57="","",IFERROR(INDEX('Ref_Tolerance'!$E$2:$E$9,MATCH($J57,'Ref_Tolerance'!$A$2:$A$9,0)),""))</f>
        <v/>
      </c>
      <c r="R57" s="23">
        <f>IF($A57="","",IFERROR(IF($O57=0,"CLEAR",IF($O57=1,"MFR DUE - MANAGER",IF($O57=2,"MFR DUE - FSS/CC SIGNATURE REQUIRED","INVESTIGATION + REPORT OF SURVEY; MSG/CC NOTIFIED"))),""))</f>
        <v/>
      </c>
      <c r="S57" s="23">
        <f>IF($A57="","",IF($O57=2,"WATCH - ONE MORE MISS TRIGGERS INVESTIGATION",""))</f>
        <v/>
      </c>
      <c r="T57" s="23">
        <f>IF($A57="","",IFERROR(IF(AND($O57&gt;=1,$F57&lt;&gt;"Y"),"MFR NOT SUBMITTED",IF(AND($O57&gt;=2,$G57&lt;&gt;"Y"),"FSS/CC SIGNATURE MISSING",IF(AND($O57&gt;=3,$H57&lt;&gt;"Y"),"INVESTIGATION NOT OPENED",""))),""))</f>
        <v/>
      </c>
      <c r="U57" s="25">
        <f>IF($A57="",0,IFERROR(MATCH($B57,'Ref_Calendar'!$A$2:$A$500,0),0))</f>
        <v/>
      </c>
      <c r="V57" s="25">
        <f>IF($A57="",0,IFERROR(SUMPRODUCT(MAX(($A$8:$A$307=$A57)*($P$8:$P$307="PASS")*($U$8:$U$307&lt;=$U57)*$U$8:$U$307)),0))</f>
        <v/>
      </c>
      <c r="W57" s="25">
        <f>IF($A57="","",IFERROR(INDEX('Ref_Crosswalk'!$E$2:$E$500,MATCH($A57,'Ref_Crosswalk'!$A$2:$A$500,0)),""))</f>
        <v/>
      </c>
      <c r="X57" s="25">
        <f>IF($A57="","",IFERROR(INDEX('Ref_Crosswalk'!$C$2:$C$500,MATCH($A57,'Ref_Crosswalk'!$A$2:$A$500,0)),""))</f>
        <v/>
      </c>
      <c r="Y57" s="25">
        <f>IF($A57="",0,IF(AND(OR('Out_Dashboard'!$C$5="",$W57='Out_Dashboard'!$C$5),OR('Out_Dashboard'!$C$6="",$X57='Out_Dashboard'!$C$6),OR('Out_Dashboard'!$C$7="",$B57='Out_Dashboard'!$C$7)),1,0))</f>
        <v/>
      </c>
      <c r="Z57" s="25">
        <f>IF(AND($A57&lt;&gt;"",$S57&lt;&gt;"",$Y57=1),SUMPRODUCT(($A$8:$A57&lt;&gt;"")*($S$8:$S57&lt;&gt;"")*($Y$8:$Y57=1)),"")</f>
        <v/>
      </c>
      <c r="AA57" s="25">
        <f>IF(AND($A57&lt;&gt;"",$T57&lt;&gt;"",$Y57=1),SUMPRODUCT(($A$8:$A57&lt;&gt;"")*($T$8:$T57&lt;&gt;"")*($Y$8:$Y57=1)),"")</f>
        <v/>
      </c>
    </row>
    <row r="58">
      <c r="A58" s="13" t="n"/>
      <c r="B58" s="13" t="n"/>
      <c r="C58" s="26" t="n"/>
      <c r="D58" s="26" t="n"/>
      <c r="E58" s="26" t="n"/>
      <c r="F58" s="13" t="n"/>
      <c r="G58" s="13" t="n"/>
      <c r="H58" s="13" t="n"/>
      <c r="I58" s="13" t="n"/>
      <c r="J58" s="23">
        <f>IF($A58="","",IFERROR(INDEX('Ref_Crosswalk'!$F$2:$F$500,MATCH($A58,'Ref_Crosswalk'!$A$2:$A$500,0)),"UNKNOWN"))</f>
        <v/>
      </c>
      <c r="K58" s="24">
        <f>IF($A58="","",IFERROR(INDEX('Ref_Tolerance'!$B$2:$B$9,MATCH($J58,'Ref_Tolerance'!$A$2:$A$9,0)),""))</f>
        <v/>
      </c>
      <c r="L58" s="23">
        <f>IF($A58="","",IFERROR(INDEX('Ref_Tolerance'!$D$2:$D$9,MATCH($J58,'Ref_Tolerance'!$A$2:$A$9,0)),""))</f>
        <v/>
      </c>
      <c r="M58" s="24">
        <f>IF($A58="","",IFERROR(ABS(N($D58))/N($C58),0))</f>
        <v/>
      </c>
      <c r="N58" s="24">
        <f>IF($A58="","",IFERROR(N($E58)/N($C58),0))</f>
        <v/>
      </c>
      <c r="O58" s="23">
        <f>IF($A58="",0,IFERROR(SUMPRODUCT(($A$8:$A$307=$A58)*($P$8:$P$307="FAIL")*($U$8:$U$307&gt;$V58)*($U$8:$U$307&lt;=$U58)),0))</f>
        <v/>
      </c>
      <c r="P58" s="23">
        <f>IF($A58="","",IFERROR(IF(NOT(ISNUMBER($K58)),"CHECK",IF($L58="MARGIN",IF($N58&lt;=$K58,"PASS","FAIL"),IF($M58&lt;=$K58,"PASS","FAIL"))),"CHECK"))</f>
        <v/>
      </c>
      <c r="Q58" s="23">
        <f>IF($A58="","",IFERROR(INDEX('Ref_Tolerance'!$E$2:$E$9,MATCH($J58,'Ref_Tolerance'!$A$2:$A$9,0)),""))</f>
        <v/>
      </c>
      <c r="R58" s="23">
        <f>IF($A58="","",IFERROR(IF($O58=0,"CLEAR",IF($O58=1,"MFR DUE - MANAGER",IF($O58=2,"MFR DUE - FSS/CC SIGNATURE REQUIRED","INVESTIGATION + REPORT OF SURVEY; MSG/CC NOTIFIED"))),""))</f>
        <v/>
      </c>
      <c r="S58" s="23">
        <f>IF($A58="","",IF($O58=2,"WATCH - ONE MORE MISS TRIGGERS INVESTIGATION",""))</f>
        <v/>
      </c>
      <c r="T58" s="23">
        <f>IF($A58="","",IFERROR(IF(AND($O58&gt;=1,$F58&lt;&gt;"Y"),"MFR NOT SUBMITTED",IF(AND($O58&gt;=2,$G58&lt;&gt;"Y"),"FSS/CC SIGNATURE MISSING",IF(AND($O58&gt;=3,$H58&lt;&gt;"Y"),"INVESTIGATION NOT OPENED",""))),""))</f>
        <v/>
      </c>
      <c r="U58" s="25">
        <f>IF($A58="",0,IFERROR(MATCH($B58,'Ref_Calendar'!$A$2:$A$500,0),0))</f>
        <v/>
      </c>
      <c r="V58" s="25">
        <f>IF($A58="",0,IFERROR(SUMPRODUCT(MAX(($A$8:$A$307=$A58)*($P$8:$P$307="PASS")*($U$8:$U$307&lt;=$U58)*$U$8:$U$307)),0))</f>
        <v/>
      </c>
      <c r="W58" s="25">
        <f>IF($A58="","",IFERROR(INDEX('Ref_Crosswalk'!$E$2:$E$500,MATCH($A58,'Ref_Crosswalk'!$A$2:$A$500,0)),""))</f>
        <v/>
      </c>
      <c r="X58" s="25">
        <f>IF($A58="","",IFERROR(INDEX('Ref_Crosswalk'!$C$2:$C$500,MATCH($A58,'Ref_Crosswalk'!$A$2:$A$500,0)),""))</f>
        <v/>
      </c>
      <c r="Y58" s="25">
        <f>IF($A58="",0,IF(AND(OR('Out_Dashboard'!$C$5="",$W58='Out_Dashboard'!$C$5),OR('Out_Dashboard'!$C$6="",$X58='Out_Dashboard'!$C$6),OR('Out_Dashboard'!$C$7="",$B58='Out_Dashboard'!$C$7)),1,0))</f>
        <v/>
      </c>
      <c r="Z58" s="25">
        <f>IF(AND($A58&lt;&gt;"",$S58&lt;&gt;"",$Y58=1),SUMPRODUCT(($A$8:$A58&lt;&gt;"")*($S$8:$S58&lt;&gt;"")*($Y$8:$Y58=1)),"")</f>
        <v/>
      </c>
      <c r="AA58" s="25">
        <f>IF(AND($A58&lt;&gt;"",$T58&lt;&gt;"",$Y58=1),SUMPRODUCT(($A$8:$A58&lt;&gt;"")*($T$8:$T58&lt;&gt;"")*($Y$8:$Y58=1)),"")</f>
        <v/>
      </c>
    </row>
    <row r="59">
      <c r="A59" s="13" t="n"/>
      <c r="B59" s="13" t="n"/>
      <c r="C59" s="26" t="n"/>
      <c r="D59" s="26" t="n"/>
      <c r="E59" s="26" t="n"/>
      <c r="F59" s="13" t="n"/>
      <c r="G59" s="13" t="n"/>
      <c r="H59" s="13" t="n"/>
      <c r="I59" s="13" t="n"/>
      <c r="J59" s="23">
        <f>IF($A59="","",IFERROR(INDEX('Ref_Crosswalk'!$F$2:$F$500,MATCH($A59,'Ref_Crosswalk'!$A$2:$A$500,0)),"UNKNOWN"))</f>
        <v/>
      </c>
      <c r="K59" s="24">
        <f>IF($A59="","",IFERROR(INDEX('Ref_Tolerance'!$B$2:$B$9,MATCH($J59,'Ref_Tolerance'!$A$2:$A$9,0)),""))</f>
        <v/>
      </c>
      <c r="L59" s="23">
        <f>IF($A59="","",IFERROR(INDEX('Ref_Tolerance'!$D$2:$D$9,MATCH($J59,'Ref_Tolerance'!$A$2:$A$9,0)),""))</f>
        <v/>
      </c>
      <c r="M59" s="24">
        <f>IF($A59="","",IFERROR(ABS(N($D59))/N($C59),0))</f>
        <v/>
      </c>
      <c r="N59" s="24">
        <f>IF($A59="","",IFERROR(N($E59)/N($C59),0))</f>
        <v/>
      </c>
      <c r="O59" s="23">
        <f>IF($A59="",0,IFERROR(SUMPRODUCT(($A$8:$A$307=$A59)*($P$8:$P$307="FAIL")*($U$8:$U$307&gt;$V59)*($U$8:$U$307&lt;=$U59)),0))</f>
        <v/>
      </c>
      <c r="P59" s="23">
        <f>IF($A59="","",IFERROR(IF(NOT(ISNUMBER($K59)),"CHECK",IF($L59="MARGIN",IF($N59&lt;=$K59,"PASS","FAIL"),IF($M59&lt;=$K59,"PASS","FAIL"))),"CHECK"))</f>
        <v/>
      </c>
      <c r="Q59" s="23">
        <f>IF($A59="","",IFERROR(INDEX('Ref_Tolerance'!$E$2:$E$9,MATCH($J59,'Ref_Tolerance'!$A$2:$A$9,0)),""))</f>
        <v/>
      </c>
      <c r="R59" s="23">
        <f>IF($A59="","",IFERROR(IF($O59=0,"CLEAR",IF($O59=1,"MFR DUE - MANAGER",IF($O59=2,"MFR DUE - FSS/CC SIGNATURE REQUIRED","INVESTIGATION + REPORT OF SURVEY; MSG/CC NOTIFIED"))),""))</f>
        <v/>
      </c>
      <c r="S59" s="23">
        <f>IF($A59="","",IF($O59=2,"WATCH - ONE MORE MISS TRIGGERS INVESTIGATION",""))</f>
        <v/>
      </c>
      <c r="T59" s="23">
        <f>IF($A59="","",IFERROR(IF(AND($O59&gt;=1,$F59&lt;&gt;"Y"),"MFR NOT SUBMITTED",IF(AND($O59&gt;=2,$G59&lt;&gt;"Y"),"FSS/CC SIGNATURE MISSING",IF(AND($O59&gt;=3,$H59&lt;&gt;"Y"),"INVESTIGATION NOT OPENED",""))),""))</f>
        <v/>
      </c>
      <c r="U59" s="25">
        <f>IF($A59="",0,IFERROR(MATCH($B59,'Ref_Calendar'!$A$2:$A$500,0),0))</f>
        <v/>
      </c>
      <c r="V59" s="25">
        <f>IF($A59="",0,IFERROR(SUMPRODUCT(MAX(($A$8:$A$307=$A59)*($P$8:$P$307="PASS")*($U$8:$U$307&lt;=$U59)*$U$8:$U$307)),0))</f>
        <v/>
      </c>
      <c r="W59" s="25">
        <f>IF($A59="","",IFERROR(INDEX('Ref_Crosswalk'!$E$2:$E$500,MATCH($A59,'Ref_Crosswalk'!$A$2:$A$500,0)),""))</f>
        <v/>
      </c>
      <c r="X59" s="25">
        <f>IF($A59="","",IFERROR(INDEX('Ref_Crosswalk'!$C$2:$C$500,MATCH($A59,'Ref_Crosswalk'!$A$2:$A$500,0)),""))</f>
        <v/>
      </c>
      <c r="Y59" s="25">
        <f>IF($A59="",0,IF(AND(OR('Out_Dashboard'!$C$5="",$W59='Out_Dashboard'!$C$5),OR('Out_Dashboard'!$C$6="",$X59='Out_Dashboard'!$C$6),OR('Out_Dashboard'!$C$7="",$B59='Out_Dashboard'!$C$7)),1,0))</f>
        <v/>
      </c>
      <c r="Z59" s="25">
        <f>IF(AND($A59&lt;&gt;"",$S59&lt;&gt;"",$Y59=1),SUMPRODUCT(($A$8:$A59&lt;&gt;"")*($S$8:$S59&lt;&gt;"")*($Y$8:$Y59=1)),"")</f>
        <v/>
      </c>
      <c r="AA59" s="25">
        <f>IF(AND($A59&lt;&gt;"",$T59&lt;&gt;"",$Y59=1),SUMPRODUCT(($A$8:$A59&lt;&gt;"")*($T$8:$T59&lt;&gt;"")*($Y$8:$Y59=1)),"")</f>
        <v/>
      </c>
    </row>
    <row r="60">
      <c r="A60" s="13" t="n"/>
      <c r="B60" s="13" t="n"/>
      <c r="C60" s="26" t="n"/>
      <c r="D60" s="26" t="n"/>
      <c r="E60" s="26" t="n"/>
      <c r="F60" s="13" t="n"/>
      <c r="G60" s="13" t="n"/>
      <c r="H60" s="13" t="n"/>
      <c r="I60" s="13" t="n"/>
      <c r="J60" s="23">
        <f>IF($A60="","",IFERROR(INDEX('Ref_Crosswalk'!$F$2:$F$500,MATCH($A60,'Ref_Crosswalk'!$A$2:$A$500,0)),"UNKNOWN"))</f>
        <v/>
      </c>
      <c r="K60" s="24">
        <f>IF($A60="","",IFERROR(INDEX('Ref_Tolerance'!$B$2:$B$9,MATCH($J60,'Ref_Tolerance'!$A$2:$A$9,0)),""))</f>
        <v/>
      </c>
      <c r="L60" s="23">
        <f>IF($A60="","",IFERROR(INDEX('Ref_Tolerance'!$D$2:$D$9,MATCH($J60,'Ref_Tolerance'!$A$2:$A$9,0)),""))</f>
        <v/>
      </c>
      <c r="M60" s="24">
        <f>IF($A60="","",IFERROR(ABS(N($D60))/N($C60),0))</f>
        <v/>
      </c>
      <c r="N60" s="24">
        <f>IF($A60="","",IFERROR(N($E60)/N($C60),0))</f>
        <v/>
      </c>
      <c r="O60" s="23">
        <f>IF($A60="",0,IFERROR(SUMPRODUCT(($A$8:$A$307=$A60)*($P$8:$P$307="FAIL")*($U$8:$U$307&gt;$V60)*($U$8:$U$307&lt;=$U60)),0))</f>
        <v/>
      </c>
      <c r="P60" s="23">
        <f>IF($A60="","",IFERROR(IF(NOT(ISNUMBER($K60)),"CHECK",IF($L60="MARGIN",IF($N60&lt;=$K60,"PASS","FAIL"),IF($M60&lt;=$K60,"PASS","FAIL"))),"CHECK"))</f>
        <v/>
      </c>
      <c r="Q60" s="23">
        <f>IF($A60="","",IFERROR(INDEX('Ref_Tolerance'!$E$2:$E$9,MATCH($J60,'Ref_Tolerance'!$A$2:$A$9,0)),""))</f>
        <v/>
      </c>
      <c r="R60" s="23">
        <f>IF($A60="","",IFERROR(IF($O60=0,"CLEAR",IF($O60=1,"MFR DUE - MANAGER",IF($O60=2,"MFR DUE - FSS/CC SIGNATURE REQUIRED","INVESTIGATION + REPORT OF SURVEY; MSG/CC NOTIFIED"))),""))</f>
        <v/>
      </c>
      <c r="S60" s="23">
        <f>IF($A60="","",IF($O60=2,"WATCH - ONE MORE MISS TRIGGERS INVESTIGATION",""))</f>
        <v/>
      </c>
      <c r="T60" s="23">
        <f>IF($A60="","",IFERROR(IF(AND($O60&gt;=1,$F60&lt;&gt;"Y"),"MFR NOT SUBMITTED",IF(AND($O60&gt;=2,$G60&lt;&gt;"Y"),"FSS/CC SIGNATURE MISSING",IF(AND($O60&gt;=3,$H60&lt;&gt;"Y"),"INVESTIGATION NOT OPENED",""))),""))</f>
        <v/>
      </c>
      <c r="U60" s="25">
        <f>IF($A60="",0,IFERROR(MATCH($B60,'Ref_Calendar'!$A$2:$A$500,0),0))</f>
        <v/>
      </c>
      <c r="V60" s="25">
        <f>IF($A60="",0,IFERROR(SUMPRODUCT(MAX(($A$8:$A$307=$A60)*($P$8:$P$307="PASS")*($U$8:$U$307&lt;=$U60)*$U$8:$U$307)),0))</f>
        <v/>
      </c>
      <c r="W60" s="25">
        <f>IF($A60="","",IFERROR(INDEX('Ref_Crosswalk'!$E$2:$E$500,MATCH($A60,'Ref_Crosswalk'!$A$2:$A$500,0)),""))</f>
        <v/>
      </c>
      <c r="X60" s="25">
        <f>IF($A60="","",IFERROR(INDEX('Ref_Crosswalk'!$C$2:$C$500,MATCH($A60,'Ref_Crosswalk'!$A$2:$A$500,0)),""))</f>
        <v/>
      </c>
      <c r="Y60" s="25">
        <f>IF($A60="",0,IF(AND(OR('Out_Dashboard'!$C$5="",$W60='Out_Dashboard'!$C$5),OR('Out_Dashboard'!$C$6="",$X60='Out_Dashboard'!$C$6),OR('Out_Dashboard'!$C$7="",$B60='Out_Dashboard'!$C$7)),1,0))</f>
        <v/>
      </c>
      <c r="Z60" s="25">
        <f>IF(AND($A60&lt;&gt;"",$S60&lt;&gt;"",$Y60=1),SUMPRODUCT(($A$8:$A60&lt;&gt;"")*($S$8:$S60&lt;&gt;"")*($Y$8:$Y60=1)),"")</f>
        <v/>
      </c>
      <c r="AA60" s="25">
        <f>IF(AND($A60&lt;&gt;"",$T60&lt;&gt;"",$Y60=1),SUMPRODUCT(($A$8:$A60&lt;&gt;"")*($T$8:$T60&lt;&gt;"")*($Y$8:$Y60=1)),"")</f>
        <v/>
      </c>
    </row>
    <row r="61">
      <c r="A61" s="13" t="n"/>
      <c r="B61" s="13" t="n"/>
      <c r="C61" s="26" t="n"/>
      <c r="D61" s="26" t="n"/>
      <c r="E61" s="26" t="n"/>
      <c r="F61" s="13" t="n"/>
      <c r="G61" s="13" t="n"/>
      <c r="H61" s="13" t="n"/>
      <c r="I61" s="13" t="n"/>
      <c r="J61" s="23">
        <f>IF($A61="","",IFERROR(INDEX('Ref_Crosswalk'!$F$2:$F$500,MATCH($A61,'Ref_Crosswalk'!$A$2:$A$500,0)),"UNKNOWN"))</f>
        <v/>
      </c>
      <c r="K61" s="24">
        <f>IF($A61="","",IFERROR(INDEX('Ref_Tolerance'!$B$2:$B$9,MATCH($J61,'Ref_Tolerance'!$A$2:$A$9,0)),""))</f>
        <v/>
      </c>
      <c r="L61" s="23">
        <f>IF($A61="","",IFERROR(INDEX('Ref_Tolerance'!$D$2:$D$9,MATCH($J61,'Ref_Tolerance'!$A$2:$A$9,0)),""))</f>
        <v/>
      </c>
      <c r="M61" s="24">
        <f>IF($A61="","",IFERROR(ABS(N($D61))/N($C61),0))</f>
        <v/>
      </c>
      <c r="N61" s="24">
        <f>IF($A61="","",IFERROR(N($E61)/N($C61),0))</f>
        <v/>
      </c>
      <c r="O61" s="23">
        <f>IF($A61="",0,IFERROR(SUMPRODUCT(($A$8:$A$307=$A61)*($P$8:$P$307="FAIL")*($U$8:$U$307&gt;$V61)*($U$8:$U$307&lt;=$U61)),0))</f>
        <v/>
      </c>
      <c r="P61" s="23">
        <f>IF($A61="","",IFERROR(IF(NOT(ISNUMBER($K61)),"CHECK",IF($L61="MARGIN",IF($N61&lt;=$K61,"PASS","FAIL"),IF($M61&lt;=$K61,"PASS","FAIL"))),"CHECK"))</f>
        <v/>
      </c>
      <c r="Q61" s="23">
        <f>IF($A61="","",IFERROR(INDEX('Ref_Tolerance'!$E$2:$E$9,MATCH($J61,'Ref_Tolerance'!$A$2:$A$9,0)),""))</f>
        <v/>
      </c>
      <c r="R61" s="23">
        <f>IF($A61="","",IFERROR(IF($O61=0,"CLEAR",IF($O61=1,"MFR DUE - MANAGER",IF($O61=2,"MFR DUE - FSS/CC SIGNATURE REQUIRED","INVESTIGATION + REPORT OF SURVEY; MSG/CC NOTIFIED"))),""))</f>
        <v/>
      </c>
      <c r="S61" s="23">
        <f>IF($A61="","",IF($O61=2,"WATCH - ONE MORE MISS TRIGGERS INVESTIGATION",""))</f>
        <v/>
      </c>
      <c r="T61" s="23">
        <f>IF($A61="","",IFERROR(IF(AND($O61&gt;=1,$F61&lt;&gt;"Y"),"MFR NOT SUBMITTED",IF(AND($O61&gt;=2,$G61&lt;&gt;"Y"),"FSS/CC SIGNATURE MISSING",IF(AND($O61&gt;=3,$H61&lt;&gt;"Y"),"INVESTIGATION NOT OPENED",""))),""))</f>
        <v/>
      </c>
      <c r="U61" s="25">
        <f>IF($A61="",0,IFERROR(MATCH($B61,'Ref_Calendar'!$A$2:$A$500,0),0))</f>
        <v/>
      </c>
      <c r="V61" s="25">
        <f>IF($A61="",0,IFERROR(SUMPRODUCT(MAX(($A$8:$A$307=$A61)*($P$8:$P$307="PASS")*($U$8:$U$307&lt;=$U61)*$U$8:$U$307)),0))</f>
        <v/>
      </c>
      <c r="W61" s="25">
        <f>IF($A61="","",IFERROR(INDEX('Ref_Crosswalk'!$E$2:$E$500,MATCH($A61,'Ref_Crosswalk'!$A$2:$A$500,0)),""))</f>
        <v/>
      </c>
      <c r="X61" s="25">
        <f>IF($A61="","",IFERROR(INDEX('Ref_Crosswalk'!$C$2:$C$500,MATCH($A61,'Ref_Crosswalk'!$A$2:$A$500,0)),""))</f>
        <v/>
      </c>
      <c r="Y61" s="25">
        <f>IF($A61="",0,IF(AND(OR('Out_Dashboard'!$C$5="",$W61='Out_Dashboard'!$C$5),OR('Out_Dashboard'!$C$6="",$X61='Out_Dashboard'!$C$6),OR('Out_Dashboard'!$C$7="",$B61='Out_Dashboard'!$C$7)),1,0))</f>
        <v/>
      </c>
      <c r="Z61" s="25">
        <f>IF(AND($A61&lt;&gt;"",$S61&lt;&gt;"",$Y61=1),SUMPRODUCT(($A$8:$A61&lt;&gt;"")*($S$8:$S61&lt;&gt;"")*($Y$8:$Y61=1)),"")</f>
        <v/>
      </c>
      <c r="AA61" s="25">
        <f>IF(AND($A61&lt;&gt;"",$T61&lt;&gt;"",$Y61=1),SUMPRODUCT(($A$8:$A61&lt;&gt;"")*($T$8:$T61&lt;&gt;"")*($Y$8:$Y61=1)),"")</f>
        <v/>
      </c>
    </row>
    <row r="62">
      <c r="A62" s="13" t="n"/>
      <c r="B62" s="13" t="n"/>
      <c r="C62" s="26" t="n"/>
      <c r="D62" s="26" t="n"/>
      <c r="E62" s="26" t="n"/>
      <c r="F62" s="13" t="n"/>
      <c r="G62" s="13" t="n"/>
      <c r="H62" s="13" t="n"/>
      <c r="I62" s="13" t="n"/>
      <c r="J62" s="23">
        <f>IF($A62="","",IFERROR(INDEX('Ref_Crosswalk'!$F$2:$F$500,MATCH($A62,'Ref_Crosswalk'!$A$2:$A$500,0)),"UNKNOWN"))</f>
        <v/>
      </c>
      <c r="K62" s="24">
        <f>IF($A62="","",IFERROR(INDEX('Ref_Tolerance'!$B$2:$B$9,MATCH($J62,'Ref_Tolerance'!$A$2:$A$9,0)),""))</f>
        <v/>
      </c>
      <c r="L62" s="23">
        <f>IF($A62="","",IFERROR(INDEX('Ref_Tolerance'!$D$2:$D$9,MATCH($J62,'Ref_Tolerance'!$A$2:$A$9,0)),""))</f>
        <v/>
      </c>
      <c r="M62" s="24">
        <f>IF($A62="","",IFERROR(ABS(N($D62))/N($C62),0))</f>
        <v/>
      </c>
      <c r="N62" s="24">
        <f>IF($A62="","",IFERROR(N($E62)/N($C62),0))</f>
        <v/>
      </c>
      <c r="O62" s="23">
        <f>IF($A62="",0,IFERROR(SUMPRODUCT(($A$8:$A$307=$A62)*($P$8:$P$307="FAIL")*($U$8:$U$307&gt;$V62)*($U$8:$U$307&lt;=$U62)),0))</f>
        <v/>
      </c>
      <c r="P62" s="23">
        <f>IF($A62="","",IFERROR(IF(NOT(ISNUMBER($K62)),"CHECK",IF($L62="MARGIN",IF($N62&lt;=$K62,"PASS","FAIL"),IF($M62&lt;=$K62,"PASS","FAIL"))),"CHECK"))</f>
        <v/>
      </c>
      <c r="Q62" s="23">
        <f>IF($A62="","",IFERROR(INDEX('Ref_Tolerance'!$E$2:$E$9,MATCH($J62,'Ref_Tolerance'!$A$2:$A$9,0)),""))</f>
        <v/>
      </c>
      <c r="R62" s="23">
        <f>IF($A62="","",IFERROR(IF($O62=0,"CLEAR",IF($O62=1,"MFR DUE - MANAGER",IF($O62=2,"MFR DUE - FSS/CC SIGNATURE REQUIRED","INVESTIGATION + REPORT OF SURVEY; MSG/CC NOTIFIED"))),""))</f>
        <v/>
      </c>
      <c r="S62" s="23">
        <f>IF($A62="","",IF($O62=2,"WATCH - ONE MORE MISS TRIGGERS INVESTIGATION",""))</f>
        <v/>
      </c>
      <c r="T62" s="23">
        <f>IF($A62="","",IFERROR(IF(AND($O62&gt;=1,$F62&lt;&gt;"Y"),"MFR NOT SUBMITTED",IF(AND($O62&gt;=2,$G62&lt;&gt;"Y"),"FSS/CC SIGNATURE MISSING",IF(AND($O62&gt;=3,$H62&lt;&gt;"Y"),"INVESTIGATION NOT OPENED",""))),""))</f>
        <v/>
      </c>
      <c r="U62" s="25">
        <f>IF($A62="",0,IFERROR(MATCH($B62,'Ref_Calendar'!$A$2:$A$500,0),0))</f>
        <v/>
      </c>
      <c r="V62" s="25">
        <f>IF($A62="",0,IFERROR(SUMPRODUCT(MAX(($A$8:$A$307=$A62)*($P$8:$P$307="PASS")*($U$8:$U$307&lt;=$U62)*$U$8:$U$307)),0))</f>
        <v/>
      </c>
      <c r="W62" s="25">
        <f>IF($A62="","",IFERROR(INDEX('Ref_Crosswalk'!$E$2:$E$500,MATCH($A62,'Ref_Crosswalk'!$A$2:$A$500,0)),""))</f>
        <v/>
      </c>
      <c r="X62" s="25">
        <f>IF($A62="","",IFERROR(INDEX('Ref_Crosswalk'!$C$2:$C$500,MATCH($A62,'Ref_Crosswalk'!$A$2:$A$500,0)),""))</f>
        <v/>
      </c>
      <c r="Y62" s="25">
        <f>IF($A62="",0,IF(AND(OR('Out_Dashboard'!$C$5="",$W62='Out_Dashboard'!$C$5),OR('Out_Dashboard'!$C$6="",$X62='Out_Dashboard'!$C$6),OR('Out_Dashboard'!$C$7="",$B62='Out_Dashboard'!$C$7)),1,0))</f>
        <v/>
      </c>
      <c r="Z62" s="25">
        <f>IF(AND($A62&lt;&gt;"",$S62&lt;&gt;"",$Y62=1),SUMPRODUCT(($A$8:$A62&lt;&gt;"")*($S$8:$S62&lt;&gt;"")*($Y$8:$Y62=1)),"")</f>
        <v/>
      </c>
      <c r="AA62" s="25">
        <f>IF(AND($A62&lt;&gt;"",$T62&lt;&gt;"",$Y62=1),SUMPRODUCT(($A$8:$A62&lt;&gt;"")*($T$8:$T62&lt;&gt;"")*($Y$8:$Y62=1)),"")</f>
        <v/>
      </c>
    </row>
    <row r="63">
      <c r="A63" s="13" t="n"/>
      <c r="B63" s="13" t="n"/>
      <c r="C63" s="26" t="n"/>
      <c r="D63" s="26" t="n"/>
      <c r="E63" s="26" t="n"/>
      <c r="F63" s="13" t="n"/>
      <c r="G63" s="13" t="n"/>
      <c r="H63" s="13" t="n"/>
      <c r="I63" s="13" t="n"/>
      <c r="J63" s="23">
        <f>IF($A63="","",IFERROR(INDEX('Ref_Crosswalk'!$F$2:$F$500,MATCH($A63,'Ref_Crosswalk'!$A$2:$A$500,0)),"UNKNOWN"))</f>
        <v/>
      </c>
      <c r="K63" s="24">
        <f>IF($A63="","",IFERROR(INDEX('Ref_Tolerance'!$B$2:$B$9,MATCH($J63,'Ref_Tolerance'!$A$2:$A$9,0)),""))</f>
        <v/>
      </c>
      <c r="L63" s="23">
        <f>IF($A63="","",IFERROR(INDEX('Ref_Tolerance'!$D$2:$D$9,MATCH($J63,'Ref_Tolerance'!$A$2:$A$9,0)),""))</f>
        <v/>
      </c>
      <c r="M63" s="24">
        <f>IF($A63="","",IFERROR(ABS(N($D63))/N($C63),0))</f>
        <v/>
      </c>
      <c r="N63" s="24">
        <f>IF($A63="","",IFERROR(N($E63)/N($C63),0))</f>
        <v/>
      </c>
      <c r="O63" s="23">
        <f>IF($A63="",0,IFERROR(SUMPRODUCT(($A$8:$A$307=$A63)*($P$8:$P$307="FAIL")*($U$8:$U$307&gt;$V63)*($U$8:$U$307&lt;=$U63)),0))</f>
        <v/>
      </c>
      <c r="P63" s="23">
        <f>IF($A63="","",IFERROR(IF(NOT(ISNUMBER($K63)),"CHECK",IF($L63="MARGIN",IF($N63&lt;=$K63,"PASS","FAIL"),IF($M63&lt;=$K63,"PASS","FAIL"))),"CHECK"))</f>
        <v/>
      </c>
      <c r="Q63" s="23">
        <f>IF($A63="","",IFERROR(INDEX('Ref_Tolerance'!$E$2:$E$9,MATCH($J63,'Ref_Tolerance'!$A$2:$A$9,0)),""))</f>
        <v/>
      </c>
      <c r="R63" s="23">
        <f>IF($A63="","",IFERROR(IF($O63=0,"CLEAR",IF($O63=1,"MFR DUE - MANAGER",IF($O63=2,"MFR DUE - FSS/CC SIGNATURE REQUIRED","INVESTIGATION + REPORT OF SURVEY; MSG/CC NOTIFIED"))),""))</f>
        <v/>
      </c>
      <c r="S63" s="23">
        <f>IF($A63="","",IF($O63=2,"WATCH - ONE MORE MISS TRIGGERS INVESTIGATION",""))</f>
        <v/>
      </c>
      <c r="T63" s="23">
        <f>IF($A63="","",IFERROR(IF(AND($O63&gt;=1,$F63&lt;&gt;"Y"),"MFR NOT SUBMITTED",IF(AND($O63&gt;=2,$G63&lt;&gt;"Y"),"FSS/CC SIGNATURE MISSING",IF(AND($O63&gt;=3,$H63&lt;&gt;"Y"),"INVESTIGATION NOT OPENED",""))),""))</f>
        <v/>
      </c>
      <c r="U63" s="25">
        <f>IF($A63="",0,IFERROR(MATCH($B63,'Ref_Calendar'!$A$2:$A$500,0),0))</f>
        <v/>
      </c>
      <c r="V63" s="25">
        <f>IF($A63="",0,IFERROR(SUMPRODUCT(MAX(($A$8:$A$307=$A63)*($P$8:$P$307="PASS")*($U$8:$U$307&lt;=$U63)*$U$8:$U$307)),0))</f>
        <v/>
      </c>
      <c r="W63" s="25">
        <f>IF($A63="","",IFERROR(INDEX('Ref_Crosswalk'!$E$2:$E$500,MATCH($A63,'Ref_Crosswalk'!$A$2:$A$500,0)),""))</f>
        <v/>
      </c>
      <c r="X63" s="25">
        <f>IF($A63="","",IFERROR(INDEX('Ref_Crosswalk'!$C$2:$C$500,MATCH($A63,'Ref_Crosswalk'!$A$2:$A$500,0)),""))</f>
        <v/>
      </c>
      <c r="Y63" s="25">
        <f>IF($A63="",0,IF(AND(OR('Out_Dashboard'!$C$5="",$W63='Out_Dashboard'!$C$5),OR('Out_Dashboard'!$C$6="",$X63='Out_Dashboard'!$C$6),OR('Out_Dashboard'!$C$7="",$B63='Out_Dashboard'!$C$7)),1,0))</f>
        <v/>
      </c>
      <c r="Z63" s="25">
        <f>IF(AND($A63&lt;&gt;"",$S63&lt;&gt;"",$Y63=1),SUMPRODUCT(($A$8:$A63&lt;&gt;"")*($S$8:$S63&lt;&gt;"")*($Y$8:$Y63=1)),"")</f>
        <v/>
      </c>
      <c r="AA63" s="25">
        <f>IF(AND($A63&lt;&gt;"",$T63&lt;&gt;"",$Y63=1),SUMPRODUCT(($A$8:$A63&lt;&gt;"")*($T$8:$T63&lt;&gt;"")*($Y$8:$Y63=1)),"")</f>
        <v/>
      </c>
    </row>
    <row r="64">
      <c r="A64" s="13" t="n"/>
      <c r="B64" s="13" t="n"/>
      <c r="C64" s="26" t="n"/>
      <c r="D64" s="26" t="n"/>
      <c r="E64" s="26" t="n"/>
      <c r="F64" s="13" t="n"/>
      <c r="G64" s="13" t="n"/>
      <c r="H64" s="13" t="n"/>
      <c r="I64" s="13" t="n"/>
      <c r="J64" s="23">
        <f>IF($A64="","",IFERROR(INDEX('Ref_Crosswalk'!$F$2:$F$500,MATCH($A64,'Ref_Crosswalk'!$A$2:$A$500,0)),"UNKNOWN"))</f>
        <v/>
      </c>
      <c r="K64" s="24">
        <f>IF($A64="","",IFERROR(INDEX('Ref_Tolerance'!$B$2:$B$9,MATCH($J64,'Ref_Tolerance'!$A$2:$A$9,0)),""))</f>
        <v/>
      </c>
      <c r="L64" s="23">
        <f>IF($A64="","",IFERROR(INDEX('Ref_Tolerance'!$D$2:$D$9,MATCH($J64,'Ref_Tolerance'!$A$2:$A$9,0)),""))</f>
        <v/>
      </c>
      <c r="M64" s="24">
        <f>IF($A64="","",IFERROR(ABS(N($D64))/N($C64),0))</f>
        <v/>
      </c>
      <c r="N64" s="24">
        <f>IF($A64="","",IFERROR(N($E64)/N($C64),0))</f>
        <v/>
      </c>
      <c r="O64" s="23">
        <f>IF($A64="",0,IFERROR(SUMPRODUCT(($A$8:$A$307=$A64)*($P$8:$P$307="FAIL")*($U$8:$U$307&gt;$V64)*($U$8:$U$307&lt;=$U64)),0))</f>
        <v/>
      </c>
      <c r="P64" s="23">
        <f>IF($A64="","",IFERROR(IF(NOT(ISNUMBER($K64)),"CHECK",IF($L64="MARGIN",IF($N64&lt;=$K64,"PASS","FAIL"),IF($M64&lt;=$K64,"PASS","FAIL"))),"CHECK"))</f>
        <v/>
      </c>
      <c r="Q64" s="23">
        <f>IF($A64="","",IFERROR(INDEX('Ref_Tolerance'!$E$2:$E$9,MATCH($J64,'Ref_Tolerance'!$A$2:$A$9,0)),""))</f>
        <v/>
      </c>
      <c r="R64" s="23">
        <f>IF($A64="","",IFERROR(IF($O64=0,"CLEAR",IF($O64=1,"MFR DUE - MANAGER",IF($O64=2,"MFR DUE - FSS/CC SIGNATURE REQUIRED","INVESTIGATION + REPORT OF SURVEY; MSG/CC NOTIFIED"))),""))</f>
        <v/>
      </c>
      <c r="S64" s="23">
        <f>IF($A64="","",IF($O64=2,"WATCH - ONE MORE MISS TRIGGERS INVESTIGATION",""))</f>
        <v/>
      </c>
      <c r="T64" s="23">
        <f>IF($A64="","",IFERROR(IF(AND($O64&gt;=1,$F64&lt;&gt;"Y"),"MFR NOT SUBMITTED",IF(AND($O64&gt;=2,$G64&lt;&gt;"Y"),"FSS/CC SIGNATURE MISSING",IF(AND($O64&gt;=3,$H64&lt;&gt;"Y"),"INVESTIGATION NOT OPENED",""))),""))</f>
        <v/>
      </c>
      <c r="U64" s="25">
        <f>IF($A64="",0,IFERROR(MATCH($B64,'Ref_Calendar'!$A$2:$A$500,0),0))</f>
        <v/>
      </c>
      <c r="V64" s="25">
        <f>IF($A64="",0,IFERROR(SUMPRODUCT(MAX(($A$8:$A$307=$A64)*($P$8:$P$307="PASS")*($U$8:$U$307&lt;=$U64)*$U$8:$U$307)),0))</f>
        <v/>
      </c>
      <c r="W64" s="25">
        <f>IF($A64="","",IFERROR(INDEX('Ref_Crosswalk'!$E$2:$E$500,MATCH($A64,'Ref_Crosswalk'!$A$2:$A$500,0)),""))</f>
        <v/>
      </c>
      <c r="X64" s="25">
        <f>IF($A64="","",IFERROR(INDEX('Ref_Crosswalk'!$C$2:$C$500,MATCH($A64,'Ref_Crosswalk'!$A$2:$A$500,0)),""))</f>
        <v/>
      </c>
      <c r="Y64" s="25">
        <f>IF($A64="",0,IF(AND(OR('Out_Dashboard'!$C$5="",$W64='Out_Dashboard'!$C$5),OR('Out_Dashboard'!$C$6="",$X64='Out_Dashboard'!$C$6),OR('Out_Dashboard'!$C$7="",$B64='Out_Dashboard'!$C$7)),1,0))</f>
        <v/>
      </c>
      <c r="Z64" s="25">
        <f>IF(AND($A64&lt;&gt;"",$S64&lt;&gt;"",$Y64=1),SUMPRODUCT(($A$8:$A64&lt;&gt;"")*($S$8:$S64&lt;&gt;"")*($Y$8:$Y64=1)),"")</f>
        <v/>
      </c>
      <c r="AA64" s="25">
        <f>IF(AND($A64&lt;&gt;"",$T64&lt;&gt;"",$Y64=1),SUMPRODUCT(($A$8:$A64&lt;&gt;"")*($T$8:$T64&lt;&gt;"")*($Y$8:$Y64=1)),"")</f>
        <v/>
      </c>
    </row>
    <row r="65">
      <c r="A65" s="13" t="n"/>
      <c r="B65" s="13" t="n"/>
      <c r="C65" s="26" t="n"/>
      <c r="D65" s="26" t="n"/>
      <c r="E65" s="26" t="n"/>
      <c r="F65" s="13" t="n"/>
      <c r="G65" s="13" t="n"/>
      <c r="H65" s="13" t="n"/>
      <c r="I65" s="13" t="n"/>
      <c r="J65" s="23">
        <f>IF($A65="","",IFERROR(INDEX('Ref_Crosswalk'!$F$2:$F$500,MATCH($A65,'Ref_Crosswalk'!$A$2:$A$500,0)),"UNKNOWN"))</f>
        <v/>
      </c>
      <c r="K65" s="24">
        <f>IF($A65="","",IFERROR(INDEX('Ref_Tolerance'!$B$2:$B$9,MATCH($J65,'Ref_Tolerance'!$A$2:$A$9,0)),""))</f>
        <v/>
      </c>
      <c r="L65" s="23">
        <f>IF($A65="","",IFERROR(INDEX('Ref_Tolerance'!$D$2:$D$9,MATCH($J65,'Ref_Tolerance'!$A$2:$A$9,0)),""))</f>
        <v/>
      </c>
      <c r="M65" s="24">
        <f>IF($A65="","",IFERROR(ABS(N($D65))/N($C65),0))</f>
        <v/>
      </c>
      <c r="N65" s="24">
        <f>IF($A65="","",IFERROR(N($E65)/N($C65),0))</f>
        <v/>
      </c>
      <c r="O65" s="23">
        <f>IF($A65="",0,IFERROR(SUMPRODUCT(($A$8:$A$307=$A65)*($P$8:$P$307="FAIL")*($U$8:$U$307&gt;$V65)*($U$8:$U$307&lt;=$U65)),0))</f>
        <v/>
      </c>
      <c r="P65" s="23">
        <f>IF($A65="","",IFERROR(IF(NOT(ISNUMBER($K65)),"CHECK",IF($L65="MARGIN",IF($N65&lt;=$K65,"PASS","FAIL"),IF($M65&lt;=$K65,"PASS","FAIL"))),"CHECK"))</f>
        <v/>
      </c>
      <c r="Q65" s="23">
        <f>IF($A65="","",IFERROR(INDEX('Ref_Tolerance'!$E$2:$E$9,MATCH($J65,'Ref_Tolerance'!$A$2:$A$9,0)),""))</f>
        <v/>
      </c>
      <c r="R65" s="23">
        <f>IF($A65="","",IFERROR(IF($O65=0,"CLEAR",IF($O65=1,"MFR DUE - MANAGER",IF($O65=2,"MFR DUE - FSS/CC SIGNATURE REQUIRED","INVESTIGATION + REPORT OF SURVEY; MSG/CC NOTIFIED"))),""))</f>
        <v/>
      </c>
      <c r="S65" s="23">
        <f>IF($A65="","",IF($O65=2,"WATCH - ONE MORE MISS TRIGGERS INVESTIGATION",""))</f>
        <v/>
      </c>
      <c r="T65" s="23">
        <f>IF($A65="","",IFERROR(IF(AND($O65&gt;=1,$F65&lt;&gt;"Y"),"MFR NOT SUBMITTED",IF(AND($O65&gt;=2,$G65&lt;&gt;"Y"),"FSS/CC SIGNATURE MISSING",IF(AND($O65&gt;=3,$H65&lt;&gt;"Y"),"INVESTIGATION NOT OPENED",""))),""))</f>
        <v/>
      </c>
      <c r="U65" s="25">
        <f>IF($A65="",0,IFERROR(MATCH($B65,'Ref_Calendar'!$A$2:$A$500,0),0))</f>
        <v/>
      </c>
      <c r="V65" s="25">
        <f>IF($A65="",0,IFERROR(SUMPRODUCT(MAX(($A$8:$A$307=$A65)*($P$8:$P$307="PASS")*($U$8:$U$307&lt;=$U65)*$U$8:$U$307)),0))</f>
        <v/>
      </c>
      <c r="W65" s="25">
        <f>IF($A65="","",IFERROR(INDEX('Ref_Crosswalk'!$E$2:$E$500,MATCH($A65,'Ref_Crosswalk'!$A$2:$A$500,0)),""))</f>
        <v/>
      </c>
      <c r="X65" s="25">
        <f>IF($A65="","",IFERROR(INDEX('Ref_Crosswalk'!$C$2:$C$500,MATCH($A65,'Ref_Crosswalk'!$A$2:$A$500,0)),""))</f>
        <v/>
      </c>
      <c r="Y65" s="25">
        <f>IF($A65="",0,IF(AND(OR('Out_Dashboard'!$C$5="",$W65='Out_Dashboard'!$C$5),OR('Out_Dashboard'!$C$6="",$X65='Out_Dashboard'!$C$6),OR('Out_Dashboard'!$C$7="",$B65='Out_Dashboard'!$C$7)),1,0))</f>
        <v/>
      </c>
      <c r="Z65" s="25">
        <f>IF(AND($A65&lt;&gt;"",$S65&lt;&gt;"",$Y65=1),SUMPRODUCT(($A$8:$A65&lt;&gt;"")*($S$8:$S65&lt;&gt;"")*($Y$8:$Y65=1)),"")</f>
        <v/>
      </c>
      <c r="AA65" s="25">
        <f>IF(AND($A65&lt;&gt;"",$T65&lt;&gt;"",$Y65=1),SUMPRODUCT(($A$8:$A65&lt;&gt;"")*($T$8:$T65&lt;&gt;"")*($Y$8:$Y65=1)),"")</f>
        <v/>
      </c>
    </row>
    <row r="66">
      <c r="A66" s="13" t="n"/>
      <c r="B66" s="13" t="n"/>
      <c r="C66" s="26" t="n"/>
      <c r="D66" s="26" t="n"/>
      <c r="E66" s="26" t="n"/>
      <c r="F66" s="13" t="n"/>
      <c r="G66" s="13" t="n"/>
      <c r="H66" s="13" t="n"/>
      <c r="I66" s="13" t="n"/>
      <c r="J66" s="23">
        <f>IF($A66="","",IFERROR(INDEX('Ref_Crosswalk'!$F$2:$F$500,MATCH($A66,'Ref_Crosswalk'!$A$2:$A$500,0)),"UNKNOWN"))</f>
        <v/>
      </c>
      <c r="K66" s="24">
        <f>IF($A66="","",IFERROR(INDEX('Ref_Tolerance'!$B$2:$B$9,MATCH($J66,'Ref_Tolerance'!$A$2:$A$9,0)),""))</f>
        <v/>
      </c>
      <c r="L66" s="23">
        <f>IF($A66="","",IFERROR(INDEX('Ref_Tolerance'!$D$2:$D$9,MATCH($J66,'Ref_Tolerance'!$A$2:$A$9,0)),""))</f>
        <v/>
      </c>
      <c r="M66" s="24">
        <f>IF($A66="","",IFERROR(ABS(N($D66))/N($C66),0))</f>
        <v/>
      </c>
      <c r="N66" s="24">
        <f>IF($A66="","",IFERROR(N($E66)/N($C66),0))</f>
        <v/>
      </c>
      <c r="O66" s="23">
        <f>IF($A66="",0,IFERROR(SUMPRODUCT(($A$8:$A$307=$A66)*($P$8:$P$307="FAIL")*($U$8:$U$307&gt;$V66)*($U$8:$U$307&lt;=$U66)),0))</f>
        <v/>
      </c>
      <c r="P66" s="23">
        <f>IF($A66="","",IFERROR(IF(NOT(ISNUMBER($K66)),"CHECK",IF($L66="MARGIN",IF($N66&lt;=$K66,"PASS","FAIL"),IF($M66&lt;=$K66,"PASS","FAIL"))),"CHECK"))</f>
        <v/>
      </c>
      <c r="Q66" s="23">
        <f>IF($A66="","",IFERROR(INDEX('Ref_Tolerance'!$E$2:$E$9,MATCH($J66,'Ref_Tolerance'!$A$2:$A$9,0)),""))</f>
        <v/>
      </c>
      <c r="R66" s="23">
        <f>IF($A66="","",IFERROR(IF($O66=0,"CLEAR",IF($O66=1,"MFR DUE - MANAGER",IF($O66=2,"MFR DUE - FSS/CC SIGNATURE REQUIRED","INVESTIGATION + REPORT OF SURVEY; MSG/CC NOTIFIED"))),""))</f>
        <v/>
      </c>
      <c r="S66" s="23">
        <f>IF($A66="","",IF($O66=2,"WATCH - ONE MORE MISS TRIGGERS INVESTIGATION",""))</f>
        <v/>
      </c>
      <c r="T66" s="23">
        <f>IF($A66="","",IFERROR(IF(AND($O66&gt;=1,$F66&lt;&gt;"Y"),"MFR NOT SUBMITTED",IF(AND($O66&gt;=2,$G66&lt;&gt;"Y"),"FSS/CC SIGNATURE MISSING",IF(AND($O66&gt;=3,$H66&lt;&gt;"Y"),"INVESTIGATION NOT OPENED",""))),""))</f>
        <v/>
      </c>
      <c r="U66" s="25">
        <f>IF($A66="",0,IFERROR(MATCH($B66,'Ref_Calendar'!$A$2:$A$500,0),0))</f>
        <v/>
      </c>
      <c r="V66" s="25">
        <f>IF($A66="",0,IFERROR(SUMPRODUCT(MAX(($A$8:$A$307=$A66)*($P$8:$P$307="PASS")*($U$8:$U$307&lt;=$U66)*$U$8:$U$307)),0))</f>
        <v/>
      </c>
      <c r="W66" s="25">
        <f>IF($A66="","",IFERROR(INDEX('Ref_Crosswalk'!$E$2:$E$500,MATCH($A66,'Ref_Crosswalk'!$A$2:$A$500,0)),""))</f>
        <v/>
      </c>
      <c r="X66" s="25">
        <f>IF($A66="","",IFERROR(INDEX('Ref_Crosswalk'!$C$2:$C$500,MATCH($A66,'Ref_Crosswalk'!$A$2:$A$500,0)),""))</f>
        <v/>
      </c>
      <c r="Y66" s="25">
        <f>IF($A66="",0,IF(AND(OR('Out_Dashboard'!$C$5="",$W66='Out_Dashboard'!$C$5),OR('Out_Dashboard'!$C$6="",$X66='Out_Dashboard'!$C$6),OR('Out_Dashboard'!$C$7="",$B66='Out_Dashboard'!$C$7)),1,0))</f>
        <v/>
      </c>
      <c r="Z66" s="25">
        <f>IF(AND($A66&lt;&gt;"",$S66&lt;&gt;"",$Y66=1),SUMPRODUCT(($A$8:$A66&lt;&gt;"")*($S$8:$S66&lt;&gt;"")*($Y$8:$Y66=1)),"")</f>
        <v/>
      </c>
      <c r="AA66" s="25">
        <f>IF(AND($A66&lt;&gt;"",$T66&lt;&gt;"",$Y66=1),SUMPRODUCT(($A$8:$A66&lt;&gt;"")*($T$8:$T66&lt;&gt;"")*($Y$8:$Y66=1)),"")</f>
        <v/>
      </c>
    </row>
    <row r="67">
      <c r="A67" s="13" t="n"/>
      <c r="B67" s="13" t="n"/>
      <c r="C67" s="26" t="n"/>
      <c r="D67" s="26" t="n"/>
      <c r="E67" s="26" t="n"/>
      <c r="F67" s="13" t="n"/>
      <c r="G67" s="13" t="n"/>
      <c r="H67" s="13" t="n"/>
      <c r="I67" s="13" t="n"/>
      <c r="J67" s="23">
        <f>IF($A67="","",IFERROR(INDEX('Ref_Crosswalk'!$F$2:$F$500,MATCH($A67,'Ref_Crosswalk'!$A$2:$A$500,0)),"UNKNOWN"))</f>
        <v/>
      </c>
      <c r="K67" s="24">
        <f>IF($A67="","",IFERROR(INDEX('Ref_Tolerance'!$B$2:$B$9,MATCH($J67,'Ref_Tolerance'!$A$2:$A$9,0)),""))</f>
        <v/>
      </c>
      <c r="L67" s="23">
        <f>IF($A67="","",IFERROR(INDEX('Ref_Tolerance'!$D$2:$D$9,MATCH($J67,'Ref_Tolerance'!$A$2:$A$9,0)),""))</f>
        <v/>
      </c>
      <c r="M67" s="24">
        <f>IF($A67="","",IFERROR(ABS(N($D67))/N($C67),0))</f>
        <v/>
      </c>
      <c r="N67" s="24">
        <f>IF($A67="","",IFERROR(N($E67)/N($C67),0))</f>
        <v/>
      </c>
      <c r="O67" s="23">
        <f>IF($A67="",0,IFERROR(SUMPRODUCT(($A$8:$A$307=$A67)*($P$8:$P$307="FAIL")*($U$8:$U$307&gt;$V67)*($U$8:$U$307&lt;=$U67)),0))</f>
        <v/>
      </c>
      <c r="P67" s="23">
        <f>IF($A67="","",IFERROR(IF(NOT(ISNUMBER($K67)),"CHECK",IF($L67="MARGIN",IF($N67&lt;=$K67,"PASS","FAIL"),IF($M67&lt;=$K67,"PASS","FAIL"))),"CHECK"))</f>
        <v/>
      </c>
      <c r="Q67" s="23">
        <f>IF($A67="","",IFERROR(INDEX('Ref_Tolerance'!$E$2:$E$9,MATCH($J67,'Ref_Tolerance'!$A$2:$A$9,0)),""))</f>
        <v/>
      </c>
      <c r="R67" s="23">
        <f>IF($A67="","",IFERROR(IF($O67=0,"CLEAR",IF($O67=1,"MFR DUE - MANAGER",IF($O67=2,"MFR DUE - FSS/CC SIGNATURE REQUIRED","INVESTIGATION + REPORT OF SURVEY; MSG/CC NOTIFIED"))),""))</f>
        <v/>
      </c>
      <c r="S67" s="23">
        <f>IF($A67="","",IF($O67=2,"WATCH - ONE MORE MISS TRIGGERS INVESTIGATION",""))</f>
        <v/>
      </c>
      <c r="T67" s="23">
        <f>IF($A67="","",IFERROR(IF(AND($O67&gt;=1,$F67&lt;&gt;"Y"),"MFR NOT SUBMITTED",IF(AND($O67&gt;=2,$G67&lt;&gt;"Y"),"FSS/CC SIGNATURE MISSING",IF(AND($O67&gt;=3,$H67&lt;&gt;"Y"),"INVESTIGATION NOT OPENED",""))),""))</f>
        <v/>
      </c>
      <c r="U67" s="25">
        <f>IF($A67="",0,IFERROR(MATCH($B67,'Ref_Calendar'!$A$2:$A$500,0),0))</f>
        <v/>
      </c>
      <c r="V67" s="25">
        <f>IF($A67="",0,IFERROR(SUMPRODUCT(MAX(($A$8:$A$307=$A67)*($P$8:$P$307="PASS")*($U$8:$U$307&lt;=$U67)*$U$8:$U$307)),0))</f>
        <v/>
      </c>
      <c r="W67" s="25">
        <f>IF($A67="","",IFERROR(INDEX('Ref_Crosswalk'!$E$2:$E$500,MATCH($A67,'Ref_Crosswalk'!$A$2:$A$500,0)),""))</f>
        <v/>
      </c>
      <c r="X67" s="25">
        <f>IF($A67="","",IFERROR(INDEX('Ref_Crosswalk'!$C$2:$C$500,MATCH($A67,'Ref_Crosswalk'!$A$2:$A$500,0)),""))</f>
        <v/>
      </c>
      <c r="Y67" s="25">
        <f>IF($A67="",0,IF(AND(OR('Out_Dashboard'!$C$5="",$W67='Out_Dashboard'!$C$5),OR('Out_Dashboard'!$C$6="",$X67='Out_Dashboard'!$C$6),OR('Out_Dashboard'!$C$7="",$B67='Out_Dashboard'!$C$7)),1,0))</f>
        <v/>
      </c>
      <c r="Z67" s="25">
        <f>IF(AND($A67&lt;&gt;"",$S67&lt;&gt;"",$Y67=1),SUMPRODUCT(($A$8:$A67&lt;&gt;"")*($S$8:$S67&lt;&gt;"")*($Y$8:$Y67=1)),"")</f>
        <v/>
      </c>
      <c r="AA67" s="25">
        <f>IF(AND($A67&lt;&gt;"",$T67&lt;&gt;"",$Y67=1),SUMPRODUCT(($A$8:$A67&lt;&gt;"")*($T$8:$T67&lt;&gt;"")*($Y$8:$Y67=1)),"")</f>
        <v/>
      </c>
    </row>
    <row r="68">
      <c r="A68" s="13" t="n"/>
      <c r="B68" s="13" t="n"/>
      <c r="C68" s="26" t="n"/>
      <c r="D68" s="26" t="n"/>
      <c r="E68" s="26" t="n"/>
      <c r="F68" s="13" t="n"/>
      <c r="G68" s="13" t="n"/>
      <c r="H68" s="13" t="n"/>
      <c r="I68" s="13" t="n"/>
      <c r="J68" s="23">
        <f>IF($A68="","",IFERROR(INDEX('Ref_Crosswalk'!$F$2:$F$500,MATCH($A68,'Ref_Crosswalk'!$A$2:$A$500,0)),"UNKNOWN"))</f>
        <v/>
      </c>
      <c r="K68" s="24">
        <f>IF($A68="","",IFERROR(INDEX('Ref_Tolerance'!$B$2:$B$9,MATCH($J68,'Ref_Tolerance'!$A$2:$A$9,0)),""))</f>
        <v/>
      </c>
      <c r="L68" s="23">
        <f>IF($A68="","",IFERROR(INDEX('Ref_Tolerance'!$D$2:$D$9,MATCH($J68,'Ref_Tolerance'!$A$2:$A$9,0)),""))</f>
        <v/>
      </c>
      <c r="M68" s="24">
        <f>IF($A68="","",IFERROR(ABS(N($D68))/N($C68),0))</f>
        <v/>
      </c>
      <c r="N68" s="24">
        <f>IF($A68="","",IFERROR(N($E68)/N($C68),0))</f>
        <v/>
      </c>
      <c r="O68" s="23">
        <f>IF($A68="",0,IFERROR(SUMPRODUCT(($A$8:$A$307=$A68)*($P$8:$P$307="FAIL")*($U$8:$U$307&gt;$V68)*($U$8:$U$307&lt;=$U68)),0))</f>
        <v/>
      </c>
      <c r="P68" s="23">
        <f>IF($A68="","",IFERROR(IF(NOT(ISNUMBER($K68)),"CHECK",IF($L68="MARGIN",IF($N68&lt;=$K68,"PASS","FAIL"),IF($M68&lt;=$K68,"PASS","FAIL"))),"CHECK"))</f>
        <v/>
      </c>
      <c r="Q68" s="23">
        <f>IF($A68="","",IFERROR(INDEX('Ref_Tolerance'!$E$2:$E$9,MATCH($J68,'Ref_Tolerance'!$A$2:$A$9,0)),""))</f>
        <v/>
      </c>
      <c r="R68" s="23">
        <f>IF($A68="","",IFERROR(IF($O68=0,"CLEAR",IF($O68=1,"MFR DUE - MANAGER",IF($O68=2,"MFR DUE - FSS/CC SIGNATURE REQUIRED","INVESTIGATION + REPORT OF SURVEY; MSG/CC NOTIFIED"))),""))</f>
        <v/>
      </c>
      <c r="S68" s="23">
        <f>IF($A68="","",IF($O68=2,"WATCH - ONE MORE MISS TRIGGERS INVESTIGATION",""))</f>
        <v/>
      </c>
      <c r="T68" s="23">
        <f>IF($A68="","",IFERROR(IF(AND($O68&gt;=1,$F68&lt;&gt;"Y"),"MFR NOT SUBMITTED",IF(AND($O68&gt;=2,$G68&lt;&gt;"Y"),"FSS/CC SIGNATURE MISSING",IF(AND($O68&gt;=3,$H68&lt;&gt;"Y"),"INVESTIGATION NOT OPENED",""))),""))</f>
        <v/>
      </c>
      <c r="U68" s="25">
        <f>IF($A68="",0,IFERROR(MATCH($B68,'Ref_Calendar'!$A$2:$A$500,0),0))</f>
        <v/>
      </c>
      <c r="V68" s="25">
        <f>IF($A68="",0,IFERROR(SUMPRODUCT(MAX(($A$8:$A$307=$A68)*($P$8:$P$307="PASS")*($U$8:$U$307&lt;=$U68)*$U$8:$U$307)),0))</f>
        <v/>
      </c>
      <c r="W68" s="25">
        <f>IF($A68="","",IFERROR(INDEX('Ref_Crosswalk'!$E$2:$E$500,MATCH($A68,'Ref_Crosswalk'!$A$2:$A$500,0)),""))</f>
        <v/>
      </c>
      <c r="X68" s="25">
        <f>IF($A68="","",IFERROR(INDEX('Ref_Crosswalk'!$C$2:$C$500,MATCH($A68,'Ref_Crosswalk'!$A$2:$A$500,0)),""))</f>
        <v/>
      </c>
      <c r="Y68" s="25">
        <f>IF($A68="",0,IF(AND(OR('Out_Dashboard'!$C$5="",$W68='Out_Dashboard'!$C$5),OR('Out_Dashboard'!$C$6="",$X68='Out_Dashboard'!$C$6),OR('Out_Dashboard'!$C$7="",$B68='Out_Dashboard'!$C$7)),1,0))</f>
        <v/>
      </c>
      <c r="Z68" s="25">
        <f>IF(AND($A68&lt;&gt;"",$S68&lt;&gt;"",$Y68=1),SUMPRODUCT(($A$8:$A68&lt;&gt;"")*($S$8:$S68&lt;&gt;"")*($Y$8:$Y68=1)),"")</f>
        <v/>
      </c>
      <c r="AA68" s="25">
        <f>IF(AND($A68&lt;&gt;"",$T68&lt;&gt;"",$Y68=1),SUMPRODUCT(($A$8:$A68&lt;&gt;"")*($T$8:$T68&lt;&gt;"")*($Y$8:$Y68=1)),"")</f>
        <v/>
      </c>
    </row>
    <row r="69">
      <c r="A69" s="13" t="n"/>
      <c r="B69" s="13" t="n"/>
      <c r="C69" s="26" t="n"/>
      <c r="D69" s="26" t="n"/>
      <c r="E69" s="26" t="n"/>
      <c r="F69" s="13" t="n"/>
      <c r="G69" s="13" t="n"/>
      <c r="H69" s="13" t="n"/>
      <c r="I69" s="13" t="n"/>
      <c r="J69" s="23">
        <f>IF($A69="","",IFERROR(INDEX('Ref_Crosswalk'!$F$2:$F$500,MATCH($A69,'Ref_Crosswalk'!$A$2:$A$500,0)),"UNKNOWN"))</f>
        <v/>
      </c>
      <c r="K69" s="24">
        <f>IF($A69="","",IFERROR(INDEX('Ref_Tolerance'!$B$2:$B$9,MATCH($J69,'Ref_Tolerance'!$A$2:$A$9,0)),""))</f>
        <v/>
      </c>
      <c r="L69" s="23">
        <f>IF($A69="","",IFERROR(INDEX('Ref_Tolerance'!$D$2:$D$9,MATCH($J69,'Ref_Tolerance'!$A$2:$A$9,0)),""))</f>
        <v/>
      </c>
      <c r="M69" s="24">
        <f>IF($A69="","",IFERROR(ABS(N($D69))/N($C69),0))</f>
        <v/>
      </c>
      <c r="N69" s="24">
        <f>IF($A69="","",IFERROR(N($E69)/N($C69),0))</f>
        <v/>
      </c>
      <c r="O69" s="23">
        <f>IF($A69="",0,IFERROR(SUMPRODUCT(($A$8:$A$307=$A69)*($P$8:$P$307="FAIL")*($U$8:$U$307&gt;$V69)*($U$8:$U$307&lt;=$U69)),0))</f>
        <v/>
      </c>
      <c r="P69" s="23">
        <f>IF($A69="","",IFERROR(IF(NOT(ISNUMBER($K69)),"CHECK",IF($L69="MARGIN",IF($N69&lt;=$K69,"PASS","FAIL"),IF($M69&lt;=$K69,"PASS","FAIL"))),"CHECK"))</f>
        <v/>
      </c>
      <c r="Q69" s="23">
        <f>IF($A69="","",IFERROR(INDEX('Ref_Tolerance'!$E$2:$E$9,MATCH($J69,'Ref_Tolerance'!$A$2:$A$9,0)),""))</f>
        <v/>
      </c>
      <c r="R69" s="23">
        <f>IF($A69="","",IFERROR(IF($O69=0,"CLEAR",IF($O69=1,"MFR DUE - MANAGER",IF($O69=2,"MFR DUE - FSS/CC SIGNATURE REQUIRED","INVESTIGATION + REPORT OF SURVEY; MSG/CC NOTIFIED"))),""))</f>
        <v/>
      </c>
      <c r="S69" s="23">
        <f>IF($A69="","",IF($O69=2,"WATCH - ONE MORE MISS TRIGGERS INVESTIGATION",""))</f>
        <v/>
      </c>
      <c r="T69" s="23">
        <f>IF($A69="","",IFERROR(IF(AND($O69&gt;=1,$F69&lt;&gt;"Y"),"MFR NOT SUBMITTED",IF(AND($O69&gt;=2,$G69&lt;&gt;"Y"),"FSS/CC SIGNATURE MISSING",IF(AND($O69&gt;=3,$H69&lt;&gt;"Y"),"INVESTIGATION NOT OPENED",""))),""))</f>
        <v/>
      </c>
      <c r="U69" s="25">
        <f>IF($A69="",0,IFERROR(MATCH($B69,'Ref_Calendar'!$A$2:$A$500,0),0))</f>
        <v/>
      </c>
      <c r="V69" s="25">
        <f>IF($A69="",0,IFERROR(SUMPRODUCT(MAX(($A$8:$A$307=$A69)*($P$8:$P$307="PASS")*($U$8:$U$307&lt;=$U69)*$U$8:$U$307)),0))</f>
        <v/>
      </c>
      <c r="W69" s="25">
        <f>IF($A69="","",IFERROR(INDEX('Ref_Crosswalk'!$E$2:$E$500,MATCH($A69,'Ref_Crosswalk'!$A$2:$A$500,0)),""))</f>
        <v/>
      </c>
      <c r="X69" s="25">
        <f>IF($A69="","",IFERROR(INDEX('Ref_Crosswalk'!$C$2:$C$500,MATCH($A69,'Ref_Crosswalk'!$A$2:$A$500,0)),""))</f>
        <v/>
      </c>
      <c r="Y69" s="25">
        <f>IF($A69="",0,IF(AND(OR('Out_Dashboard'!$C$5="",$W69='Out_Dashboard'!$C$5),OR('Out_Dashboard'!$C$6="",$X69='Out_Dashboard'!$C$6),OR('Out_Dashboard'!$C$7="",$B69='Out_Dashboard'!$C$7)),1,0))</f>
        <v/>
      </c>
      <c r="Z69" s="25">
        <f>IF(AND($A69&lt;&gt;"",$S69&lt;&gt;"",$Y69=1),SUMPRODUCT(($A$8:$A69&lt;&gt;"")*($S$8:$S69&lt;&gt;"")*($Y$8:$Y69=1)),"")</f>
        <v/>
      </c>
      <c r="AA69" s="25">
        <f>IF(AND($A69&lt;&gt;"",$T69&lt;&gt;"",$Y69=1),SUMPRODUCT(($A$8:$A69&lt;&gt;"")*($T$8:$T69&lt;&gt;"")*($Y$8:$Y69=1)),"")</f>
        <v/>
      </c>
    </row>
    <row r="70">
      <c r="A70" s="13" t="n"/>
      <c r="B70" s="13" t="n"/>
      <c r="C70" s="26" t="n"/>
      <c r="D70" s="26" t="n"/>
      <c r="E70" s="26" t="n"/>
      <c r="F70" s="13" t="n"/>
      <c r="G70" s="13" t="n"/>
      <c r="H70" s="13" t="n"/>
      <c r="I70" s="13" t="n"/>
      <c r="J70" s="23">
        <f>IF($A70="","",IFERROR(INDEX('Ref_Crosswalk'!$F$2:$F$500,MATCH($A70,'Ref_Crosswalk'!$A$2:$A$500,0)),"UNKNOWN"))</f>
        <v/>
      </c>
      <c r="K70" s="24">
        <f>IF($A70="","",IFERROR(INDEX('Ref_Tolerance'!$B$2:$B$9,MATCH($J70,'Ref_Tolerance'!$A$2:$A$9,0)),""))</f>
        <v/>
      </c>
      <c r="L70" s="23">
        <f>IF($A70="","",IFERROR(INDEX('Ref_Tolerance'!$D$2:$D$9,MATCH($J70,'Ref_Tolerance'!$A$2:$A$9,0)),""))</f>
        <v/>
      </c>
      <c r="M70" s="24">
        <f>IF($A70="","",IFERROR(ABS(N($D70))/N($C70),0))</f>
        <v/>
      </c>
      <c r="N70" s="24">
        <f>IF($A70="","",IFERROR(N($E70)/N($C70),0))</f>
        <v/>
      </c>
      <c r="O70" s="23">
        <f>IF($A70="",0,IFERROR(SUMPRODUCT(($A$8:$A$307=$A70)*($P$8:$P$307="FAIL")*($U$8:$U$307&gt;$V70)*($U$8:$U$307&lt;=$U70)),0))</f>
        <v/>
      </c>
      <c r="P70" s="23">
        <f>IF($A70="","",IFERROR(IF(NOT(ISNUMBER($K70)),"CHECK",IF($L70="MARGIN",IF($N70&lt;=$K70,"PASS","FAIL"),IF($M70&lt;=$K70,"PASS","FAIL"))),"CHECK"))</f>
        <v/>
      </c>
      <c r="Q70" s="23">
        <f>IF($A70="","",IFERROR(INDEX('Ref_Tolerance'!$E$2:$E$9,MATCH($J70,'Ref_Tolerance'!$A$2:$A$9,0)),""))</f>
        <v/>
      </c>
      <c r="R70" s="23">
        <f>IF($A70="","",IFERROR(IF($O70=0,"CLEAR",IF($O70=1,"MFR DUE - MANAGER",IF($O70=2,"MFR DUE - FSS/CC SIGNATURE REQUIRED","INVESTIGATION + REPORT OF SURVEY; MSG/CC NOTIFIED"))),""))</f>
        <v/>
      </c>
      <c r="S70" s="23">
        <f>IF($A70="","",IF($O70=2,"WATCH - ONE MORE MISS TRIGGERS INVESTIGATION",""))</f>
        <v/>
      </c>
      <c r="T70" s="23">
        <f>IF($A70="","",IFERROR(IF(AND($O70&gt;=1,$F70&lt;&gt;"Y"),"MFR NOT SUBMITTED",IF(AND($O70&gt;=2,$G70&lt;&gt;"Y"),"FSS/CC SIGNATURE MISSING",IF(AND($O70&gt;=3,$H70&lt;&gt;"Y"),"INVESTIGATION NOT OPENED",""))),""))</f>
        <v/>
      </c>
      <c r="U70" s="25">
        <f>IF($A70="",0,IFERROR(MATCH($B70,'Ref_Calendar'!$A$2:$A$500,0),0))</f>
        <v/>
      </c>
      <c r="V70" s="25">
        <f>IF($A70="",0,IFERROR(SUMPRODUCT(MAX(($A$8:$A$307=$A70)*($P$8:$P$307="PASS")*($U$8:$U$307&lt;=$U70)*$U$8:$U$307)),0))</f>
        <v/>
      </c>
      <c r="W70" s="25">
        <f>IF($A70="","",IFERROR(INDEX('Ref_Crosswalk'!$E$2:$E$500,MATCH($A70,'Ref_Crosswalk'!$A$2:$A$500,0)),""))</f>
        <v/>
      </c>
      <c r="X70" s="25">
        <f>IF($A70="","",IFERROR(INDEX('Ref_Crosswalk'!$C$2:$C$500,MATCH($A70,'Ref_Crosswalk'!$A$2:$A$500,0)),""))</f>
        <v/>
      </c>
      <c r="Y70" s="25">
        <f>IF($A70="",0,IF(AND(OR('Out_Dashboard'!$C$5="",$W70='Out_Dashboard'!$C$5),OR('Out_Dashboard'!$C$6="",$X70='Out_Dashboard'!$C$6),OR('Out_Dashboard'!$C$7="",$B70='Out_Dashboard'!$C$7)),1,0))</f>
        <v/>
      </c>
      <c r="Z70" s="25">
        <f>IF(AND($A70&lt;&gt;"",$S70&lt;&gt;"",$Y70=1),SUMPRODUCT(($A$8:$A70&lt;&gt;"")*($S$8:$S70&lt;&gt;"")*($Y$8:$Y70=1)),"")</f>
        <v/>
      </c>
      <c r="AA70" s="25">
        <f>IF(AND($A70&lt;&gt;"",$T70&lt;&gt;"",$Y70=1),SUMPRODUCT(($A$8:$A70&lt;&gt;"")*($T$8:$T70&lt;&gt;"")*($Y$8:$Y70=1)),"")</f>
        <v/>
      </c>
    </row>
    <row r="71">
      <c r="A71" s="13" t="n"/>
      <c r="B71" s="13" t="n"/>
      <c r="C71" s="26" t="n"/>
      <c r="D71" s="26" t="n"/>
      <c r="E71" s="26" t="n"/>
      <c r="F71" s="13" t="n"/>
      <c r="G71" s="13" t="n"/>
      <c r="H71" s="13" t="n"/>
      <c r="I71" s="13" t="n"/>
      <c r="J71" s="23">
        <f>IF($A71="","",IFERROR(INDEX('Ref_Crosswalk'!$F$2:$F$500,MATCH($A71,'Ref_Crosswalk'!$A$2:$A$500,0)),"UNKNOWN"))</f>
        <v/>
      </c>
      <c r="K71" s="24">
        <f>IF($A71="","",IFERROR(INDEX('Ref_Tolerance'!$B$2:$B$9,MATCH($J71,'Ref_Tolerance'!$A$2:$A$9,0)),""))</f>
        <v/>
      </c>
      <c r="L71" s="23">
        <f>IF($A71="","",IFERROR(INDEX('Ref_Tolerance'!$D$2:$D$9,MATCH($J71,'Ref_Tolerance'!$A$2:$A$9,0)),""))</f>
        <v/>
      </c>
      <c r="M71" s="24">
        <f>IF($A71="","",IFERROR(ABS(N($D71))/N($C71),0))</f>
        <v/>
      </c>
      <c r="N71" s="24">
        <f>IF($A71="","",IFERROR(N($E71)/N($C71),0))</f>
        <v/>
      </c>
      <c r="O71" s="23">
        <f>IF($A71="",0,IFERROR(SUMPRODUCT(($A$8:$A$307=$A71)*($P$8:$P$307="FAIL")*($U$8:$U$307&gt;$V71)*($U$8:$U$307&lt;=$U71)),0))</f>
        <v/>
      </c>
      <c r="P71" s="23">
        <f>IF($A71="","",IFERROR(IF(NOT(ISNUMBER($K71)),"CHECK",IF($L71="MARGIN",IF($N71&lt;=$K71,"PASS","FAIL"),IF($M71&lt;=$K71,"PASS","FAIL"))),"CHECK"))</f>
        <v/>
      </c>
      <c r="Q71" s="23">
        <f>IF($A71="","",IFERROR(INDEX('Ref_Tolerance'!$E$2:$E$9,MATCH($J71,'Ref_Tolerance'!$A$2:$A$9,0)),""))</f>
        <v/>
      </c>
      <c r="R71" s="23">
        <f>IF($A71="","",IFERROR(IF($O71=0,"CLEAR",IF($O71=1,"MFR DUE - MANAGER",IF($O71=2,"MFR DUE - FSS/CC SIGNATURE REQUIRED","INVESTIGATION + REPORT OF SURVEY; MSG/CC NOTIFIED"))),""))</f>
        <v/>
      </c>
      <c r="S71" s="23">
        <f>IF($A71="","",IF($O71=2,"WATCH - ONE MORE MISS TRIGGERS INVESTIGATION",""))</f>
        <v/>
      </c>
      <c r="T71" s="23">
        <f>IF($A71="","",IFERROR(IF(AND($O71&gt;=1,$F71&lt;&gt;"Y"),"MFR NOT SUBMITTED",IF(AND($O71&gt;=2,$G71&lt;&gt;"Y"),"FSS/CC SIGNATURE MISSING",IF(AND($O71&gt;=3,$H71&lt;&gt;"Y"),"INVESTIGATION NOT OPENED",""))),""))</f>
        <v/>
      </c>
      <c r="U71" s="25">
        <f>IF($A71="",0,IFERROR(MATCH($B71,'Ref_Calendar'!$A$2:$A$500,0),0))</f>
        <v/>
      </c>
      <c r="V71" s="25">
        <f>IF($A71="",0,IFERROR(SUMPRODUCT(MAX(($A$8:$A$307=$A71)*($P$8:$P$307="PASS")*($U$8:$U$307&lt;=$U71)*$U$8:$U$307)),0))</f>
        <v/>
      </c>
      <c r="W71" s="25">
        <f>IF($A71="","",IFERROR(INDEX('Ref_Crosswalk'!$E$2:$E$500,MATCH($A71,'Ref_Crosswalk'!$A$2:$A$500,0)),""))</f>
        <v/>
      </c>
      <c r="X71" s="25">
        <f>IF($A71="","",IFERROR(INDEX('Ref_Crosswalk'!$C$2:$C$500,MATCH($A71,'Ref_Crosswalk'!$A$2:$A$500,0)),""))</f>
        <v/>
      </c>
      <c r="Y71" s="25">
        <f>IF($A71="",0,IF(AND(OR('Out_Dashboard'!$C$5="",$W71='Out_Dashboard'!$C$5),OR('Out_Dashboard'!$C$6="",$X71='Out_Dashboard'!$C$6),OR('Out_Dashboard'!$C$7="",$B71='Out_Dashboard'!$C$7)),1,0))</f>
        <v/>
      </c>
      <c r="Z71" s="25">
        <f>IF(AND($A71&lt;&gt;"",$S71&lt;&gt;"",$Y71=1),SUMPRODUCT(($A$8:$A71&lt;&gt;"")*($S$8:$S71&lt;&gt;"")*($Y$8:$Y71=1)),"")</f>
        <v/>
      </c>
      <c r="AA71" s="25">
        <f>IF(AND($A71&lt;&gt;"",$T71&lt;&gt;"",$Y71=1),SUMPRODUCT(($A$8:$A71&lt;&gt;"")*($T$8:$T71&lt;&gt;"")*($Y$8:$Y71=1)),"")</f>
        <v/>
      </c>
    </row>
    <row r="72">
      <c r="A72" s="13" t="n"/>
      <c r="B72" s="13" t="n"/>
      <c r="C72" s="26" t="n"/>
      <c r="D72" s="26" t="n"/>
      <c r="E72" s="26" t="n"/>
      <c r="F72" s="13" t="n"/>
      <c r="G72" s="13" t="n"/>
      <c r="H72" s="13" t="n"/>
      <c r="I72" s="13" t="n"/>
      <c r="J72" s="23">
        <f>IF($A72="","",IFERROR(INDEX('Ref_Crosswalk'!$F$2:$F$500,MATCH($A72,'Ref_Crosswalk'!$A$2:$A$500,0)),"UNKNOWN"))</f>
        <v/>
      </c>
      <c r="K72" s="24">
        <f>IF($A72="","",IFERROR(INDEX('Ref_Tolerance'!$B$2:$B$9,MATCH($J72,'Ref_Tolerance'!$A$2:$A$9,0)),""))</f>
        <v/>
      </c>
      <c r="L72" s="23">
        <f>IF($A72="","",IFERROR(INDEX('Ref_Tolerance'!$D$2:$D$9,MATCH($J72,'Ref_Tolerance'!$A$2:$A$9,0)),""))</f>
        <v/>
      </c>
      <c r="M72" s="24">
        <f>IF($A72="","",IFERROR(ABS(N($D72))/N($C72),0))</f>
        <v/>
      </c>
      <c r="N72" s="24">
        <f>IF($A72="","",IFERROR(N($E72)/N($C72),0))</f>
        <v/>
      </c>
      <c r="O72" s="23">
        <f>IF($A72="",0,IFERROR(SUMPRODUCT(($A$8:$A$307=$A72)*($P$8:$P$307="FAIL")*($U$8:$U$307&gt;$V72)*($U$8:$U$307&lt;=$U72)),0))</f>
        <v/>
      </c>
      <c r="P72" s="23">
        <f>IF($A72="","",IFERROR(IF(NOT(ISNUMBER($K72)),"CHECK",IF($L72="MARGIN",IF($N72&lt;=$K72,"PASS","FAIL"),IF($M72&lt;=$K72,"PASS","FAIL"))),"CHECK"))</f>
        <v/>
      </c>
      <c r="Q72" s="23">
        <f>IF($A72="","",IFERROR(INDEX('Ref_Tolerance'!$E$2:$E$9,MATCH($J72,'Ref_Tolerance'!$A$2:$A$9,0)),""))</f>
        <v/>
      </c>
      <c r="R72" s="23">
        <f>IF($A72="","",IFERROR(IF($O72=0,"CLEAR",IF($O72=1,"MFR DUE - MANAGER",IF($O72=2,"MFR DUE - FSS/CC SIGNATURE REQUIRED","INVESTIGATION + REPORT OF SURVEY; MSG/CC NOTIFIED"))),""))</f>
        <v/>
      </c>
      <c r="S72" s="23">
        <f>IF($A72="","",IF($O72=2,"WATCH - ONE MORE MISS TRIGGERS INVESTIGATION",""))</f>
        <v/>
      </c>
      <c r="T72" s="23">
        <f>IF($A72="","",IFERROR(IF(AND($O72&gt;=1,$F72&lt;&gt;"Y"),"MFR NOT SUBMITTED",IF(AND($O72&gt;=2,$G72&lt;&gt;"Y"),"FSS/CC SIGNATURE MISSING",IF(AND($O72&gt;=3,$H72&lt;&gt;"Y"),"INVESTIGATION NOT OPENED",""))),""))</f>
        <v/>
      </c>
      <c r="U72" s="25">
        <f>IF($A72="",0,IFERROR(MATCH($B72,'Ref_Calendar'!$A$2:$A$500,0),0))</f>
        <v/>
      </c>
      <c r="V72" s="25">
        <f>IF($A72="",0,IFERROR(SUMPRODUCT(MAX(($A$8:$A$307=$A72)*($P$8:$P$307="PASS")*($U$8:$U$307&lt;=$U72)*$U$8:$U$307)),0))</f>
        <v/>
      </c>
      <c r="W72" s="25">
        <f>IF($A72="","",IFERROR(INDEX('Ref_Crosswalk'!$E$2:$E$500,MATCH($A72,'Ref_Crosswalk'!$A$2:$A$500,0)),""))</f>
        <v/>
      </c>
      <c r="X72" s="25">
        <f>IF($A72="","",IFERROR(INDEX('Ref_Crosswalk'!$C$2:$C$500,MATCH($A72,'Ref_Crosswalk'!$A$2:$A$500,0)),""))</f>
        <v/>
      </c>
      <c r="Y72" s="25">
        <f>IF($A72="",0,IF(AND(OR('Out_Dashboard'!$C$5="",$W72='Out_Dashboard'!$C$5),OR('Out_Dashboard'!$C$6="",$X72='Out_Dashboard'!$C$6),OR('Out_Dashboard'!$C$7="",$B72='Out_Dashboard'!$C$7)),1,0))</f>
        <v/>
      </c>
      <c r="Z72" s="25">
        <f>IF(AND($A72&lt;&gt;"",$S72&lt;&gt;"",$Y72=1),SUMPRODUCT(($A$8:$A72&lt;&gt;"")*($S$8:$S72&lt;&gt;"")*($Y$8:$Y72=1)),"")</f>
        <v/>
      </c>
      <c r="AA72" s="25">
        <f>IF(AND($A72&lt;&gt;"",$T72&lt;&gt;"",$Y72=1),SUMPRODUCT(($A$8:$A72&lt;&gt;"")*($T$8:$T72&lt;&gt;"")*($Y$8:$Y72=1)),"")</f>
        <v/>
      </c>
    </row>
    <row r="73">
      <c r="A73" s="13" t="n"/>
      <c r="B73" s="13" t="n"/>
      <c r="C73" s="26" t="n"/>
      <c r="D73" s="26" t="n"/>
      <c r="E73" s="26" t="n"/>
      <c r="F73" s="13" t="n"/>
      <c r="G73" s="13" t="n"/>
      <c r="H73" s="13" t="n"/>
      <c r="I73" s="13" t="n"/>
      <c r="J73" s="23">
        <f>IF($A73="","",IFERROR(INDEX('Ref_Crosswalk'!$F$2:$F$500,MATCH($A73,'Ref_Crosswalk'!$A$2:$A$500,0)),"UNKNOWN"))</f>
        <v/>
      </c>
      <c r="K73" s="24">
        <f>IF($A73="","",IFERROR(INDEX('Ref_Tolerance'!$B$2:$B$9,MATCH($J73,'Ref_Tolerance'!$A$2:$A$9,0)),""))</f>
        <v/>
      </c>
      <c r="L73" s="23">
        <f>IF($A73="","",IFERROR(INDEX('Ref_Tolerance'!$D$2:$D$9,MATCH($J73,'Ref_Tolerance'!$A$2:$A$9,0)),""))</f>
        <v/>
      </c>
      <c r="M73" s="24">
        <f>IF($A73="","",IFERROR(ABS(N($D73))/N($C73),0))</f>
        <v/>
      </c>
      <c r="N73" s="24">
        <f>IF($A73="","",IFERROR(N($E73)/N($C73),0))</f>
        <v/>
      </c>
      <c r="O73" s="23">
        <f>IF($A73="",0,IFERROR(SUMPRODUCT(($A$8:$A$307=$A73)*($P$8:$P$307="FAIL")*($U$8:$U$307&gt;$V73)*($U$8:$U$307&lt;=$U73)),0))</f>
        <v/>
      </c>
      <c r="P73" s="23">
        <f>IF($A73="","",IFERROR(IF(NOT(ISNUMBER($K73)),"CHECK",IF($L73="MARGIN",IF($N73&lt;=$K73,"PASS","FAIL"),IF($M73&lt;=$K73,"PASS","FAIL"))),"CHECK"))</f>
        <v/>
      </c>
      <c r="Q73" s="23">
        <f>IF($A73="","",IFERROR(INDEX('Ref_Tolerance'!$E$2:$E$9,MATCH($J73,'Ref_Tolerance'!$A$2:$A$9,0)),""))</f>
        <v/>
      </c>
      <c r="R73" s="23">
        <f>IF($A73="","",IFERROR(IF($O73=0,"CLEAR",IF($O73=1,"MFR DUE - MANAGER",IF($O73=2,"MFR DUE - FSS/CC SIGNATURE REQUIRED","INVESTIGATION + REPORT OF SURVEY; MSG/CC NOTIFIED"))),""))</f>
        <v/>
      </c>
      <c r="S73" s="23">
        <f>IF($A73="","",IF($O73=2,"WATCH - ONE MORE MISS TRIGGERS INVESTIGATION",""))</f>
        <v/>
      </c>
      <c r="T73" s="23">
        <f>IF($A73="","",IFERROR(IF(AND($O73&gt;=1,$F73&lt;&gt;"Y"),"MFR NOT SUBMITTED",IF(AND($O73&gt;=2,$G73&lt;&gt;"Y"),"FSS/CC SIGNATURE MISSING",IF(AND($O73&gt;=3,$H73&lt;&gt;"Y"),"INVESTIGATION NOT OPENED",""))),""))</f>
        <v/>
      </c>
      <c r="U73" s="25">
        <f>IF($A73="",0,IFERROR(MATCH($B73,'Ref_Calendar'!$A$2:$A$500,0),0))</f>
        <v/>
      </c>
      <c r="V73" s="25">
        <f>IF($A73="",0,IFERROR(SUMPRODUCT(MAX(($A$8:$A$307=$A73)*($P$8:$P$307="PASS")*($U$8:$U$307&lt;=$U73)*$U$8:$U$307)),0))</f>
        <v/>
      </c>
      <c r="W73" s="25">
        <f>IF($A73="","",IFERROR(INDEX('Ref_Crosswalk'!$E$2:$E$500,MATCH($A73,'Ref_Crosswalk'!$A$2:$A$500,0)),""))</f>
        <v/>
      </c>
      <c r="X73" s="25">
        <f>IF($A73="","",IFERROR(INDEX('Ref_Crosswalk'!$C$2:$C$500,MATCH($A73,'Ref_Crosswalk'!$A$2:$A$500,0)),""))</f>
        <v/>
      </c>
      <c r="Y73" s="25">
        <f>IF($A73="",0,IF(AND(OR('Out_Dashboard'!$C$5="",$W73='Out_Dashboard'!$C$5),OR('Out_Dashboard'!$C$6="",$X73='Out_Dashboard'!$C$6),OR('Out_Dashboard'!$C$7="",$B73='Out_Dashboard'!$C$7)),1,0))</f>
        <v/>
      </c>
      <c r="Z73" s="25">
        <f>IF(AND($A73&lt;&gt;"",$S73&lt;&gt;"",$Y73=1),SUMPRODUCT(($A$8:$A73&lt;&gt;"")*($S$8:$S73&lt;&gt;"")*($Y$8:$Y73=1)),"")</f>
        <v/>
      </c>
      <c r="AA73" s="25">
        <f>IF(AND($A73&lt;&gt;"",$T73&lt;&gt;"",$Y73=1),SUMPRODUCT(($A$8:$A73&lt;&gt;"")*($T$8:$T73&lt;&gt;"")*($Y$8:$Y73=1)),"")</f>
        <v/>
      </c>
    </row>
    <row r="74">
      <c r="A74" s="13" t="n"/>
      <c r="B74" s="13" t="n"/>
      <c r="C74" s="26" t="n"/>
      <c r="D74" s="26" t="n"/>
      <c r="E74" s="26" t="n"/>
      <c r="F74" s="13" t="n"/>
      <c r="G74" s="13" t="n"/>
      <c r="H74" s="13" t="n"/>
      <c r="I74" s="13" t="n"/>
      <c r="J74" s="23">
        <f>IF($A74="","",IFERROR(INDEX('Ref_Crosswalk'!$F$2:$F$500,MATCH($A74,'Ref_Crosswalk'!$A$2:$A$500,0)),"UNKNOWN"))</f>
        <v/>
      </c>
      <c r="K74" s="24">
        <f>IF($A74="","",IFERROR(INDEX('Ref_Tolerance'!$B$2:$B$9,MATCH($J74,'Ref_Tolerance'!$A$2:$A$9,0)),""))</f>
        <v/>
      </c>
      <c r="L74" s="23">
        <f>IF($A74="","",IFERROR(INDEX('Ref_Tolerance'!$D$2:$D$9,MATCH($J74,'Ref_Tolerance'!$A$2:$A$9,0)),""))</f>
        <v/>
      </c>
      <c r="M74" s="24">
        <f>IF($A74="","",IFERROR(ABS(N($D74))/N($C74),0))</f>
        <v/>
      </c>
      <c r="N74" s="24">
        <f>IF($A74="","",IFERROR(N($E74)/N($C74),0))</f>
        <v/>
      </c>
      <c r="O74" s="23">
        <f>IF($A74="",0,IFERROR(SUMPRODUCT(($A$8:$A$307=$A74)*($P$8:$P$307="FAIL")*($U$8:$U$307&gt;$V74)*($U$8:$U$307&lt;=$U74)),0))</f>
        <v/>
      </c>
      <c r="P74" s="23">
        <f>IF($A74="","",IFERROR(IF(NOT(ISNUMBER($K74)),"CHECK",IF($L74="MARGIN",IF($N74&lt;=$K74,"PASS","FAIL"),IF($M74&lt;=$K74,"PASS","FAIL"))),"CHECK"))</f>
        <v/>
      </c>
      <c r="Q74" s="23">
        <f>IF($A74="","",IFERROR(INDEX('Ref_Tolerance'!$E$2:$E$9,MATCH($J74,'Ref_Tolerance'!$A$2:$A$9,0)),""))</f>
        <v/>
      </c>
      <c r="R74" s="23">
        <f>IF($A74="","",IFERROR(IF($O74=0,"CLEAR",IF($O74=1,"MFR DUE - MANAGER",IF($O74=2,"MFR DUE - FSS/CC SIGNATURE REQUIRED","INVESTIGATION + REPORT OF SURVEY; MSG/CC NOTIFIED"))),""))</f>
        <v/>
      </c>
      <c r="S74" s="23">
        <f>IF($A74="","",IF($O74=2,"WATCH - ONE MORE MISS TRIGGERS INVESTIGATION",""))</f>
        <v/>
      </c>
      <c r="T74" s="23">
        <f>IF($A74="","",IFERROR(IF(AND($O74&gt;=1,$F74&lt;&gt;"Y"),"MFR NOT SUBMITTED",IF(AND($O74&gt;=2,$G74&lt;&gt;"Y"),"FSS/CC SIGNATURE MISSING",IF(AND($O74&gt;=3,$H74&lt;&gt;"Y"),"INVESTIGATION NOT OPENED",""))),""))</f>
        <v/>
      </c>
      <c r="U74" s="25">
        <f>IF($A74="",0,IFERROR(MATCH($B74,'Ref_Calendar'!$A$2:$A$500,0),0))</f>
        <v/>
      </c>
      <c r="V74" s="25">
        <f>IF($A74="",0,IFERROR(SUMPRODUCT(MAX(($A$8:$A$307=$A74)*($P$8:$P$307="PASS")*($U$8:$U$307&lt;=$U74)*$U$8:$U$307)),0))</f>
        <v/>
      </c>
      <c r="W74" s="25">
        <f>IF($A74="","",IFERROR(INDEX('Ref_Crosswalk'!$E$2:$E$500,MATCH($A74,'Ref_Crosswalk'!$A$2:$A$500,0)),""))</f>
        <v/>
      </c>
      <c r="X74" s="25">
        <f>IF($A74="","",IFERROR(INDEX('Ref_Crosswalk'!$C$2:$C$500,MATCH($A74,'Ref_Crosswalk'!$A$2:$A$500,0)),""))</f>
        <v/>
      </c>
      <c r="Y74" s="25">
        <f>IF($A74="",0,IF(AND(OR('Out_Dashboard'!$C$5="",$W74='Out_Dashboard'!$C$5),OR('Out_Dashboard'!$C$6="",$X74='Out_Dashboard'!$C$6),OR('Out_Dashboard'!$C$7="",$B74='Out_Dashboard'!$C$7)),1,0))</f>
        <v/>
      </c>
      <c r="Z74" s="25">
        <f>IF(AND($A74&lt;&gt;"",$S74&lt;&gt;"",$Y74=1),SUMPRODUCT(($A$8:$A74&lt;&gt;"")*($S$8:$S74&lt;&gt;"")*($Y$8:$Y74=1)),"")</f>
        <v/>
      </c>
      <c r="AA74" s="25">
        <f>IF(AND($A74&lt;&gt;"",$T74&lt;&gt;"",$Y74=1),SUMPRODUCT(($A$8:$A74&lt;&gt;"")*($T$8:$T74&lt;&gt;"")*($Y$8:$Y74=1)),"")</f>
        <v/>
      </c>
    </row>
    <row r="75">
      <c r="A75" s="13" t="n"/>
      <c r="B75" s="13" t="n"/>
      <c r="C75" s="26" t="n"/>
      <c r="D75" s="26" t="n"/>
      <c r="E75" s="26" t="n"/>
      <c r="F75" s="13" t="n"/>
      <c r="G75" s="13" t="n"/>
      <c r="H75" s="13" t="n"/>
      <c r="I75" s="13" t="n"/>
      <c r="J75" s="23">
        <f>IF($A75="","",IFERROR(INDEX('Ref_Crosswalk'!$F$2:$F$500,MATCH($A75,'Ref_Crosswalk'!$A$2:$A$500,0)),"UNKNOWN"))</f>
        <v/>
      </c>
      <c r="K75" s="24">
        <f>IF($A75="","",IFERROR(INDEX('Ref_Tolerance'!$B$2:$B$9,MATCH($J75,'Ref_Tolerance'!$A$2:$A$9,0)),""))</f>
        <v/>
      </c>
      <c r="L75" s="23">
        <f>IF($A75="","",IFERROR(INDEX('Ref_Tolerance'!$D$2:$D$9,MATCH($J75,'Ref_Tolerance'!$A$2:$A$9,0)),""))</f>
        <v/>
      </c>
      <c r="M75" s="24">
        <f>IF($A75="","",IFERROR(ABS(N($D75))/N($C75),0))</f>
        <v/>
      </c>
      <c r="N75" s="24">
        <f>IF($A75="","",IFERROR(N($E75)/N($C75),0))</f>
        <v/>
      </c>
      <c r="O75" s="23">
        <f>IF($A75="",0,IFERROR(SUMPRODUCT(($A$8:$A$307=$A75)*($P$8:$P$307="FAIL")*($U$8:$U$307&gt;$V75)*($U$8:$U$307&lt;=$U75)),0))</f>
        <v/>
      </c>
      <c r="P75" s="23">
        <f>IF($A75="","",IFERROR(IF(NOT(ISNUMBER($K75)),"CHECK",IF($L75="MARGIN",IF($N75&lt;=$K75,"PASS","FAIL"),IF($M75&lt;=$K75,"PASS","FAIL"))),"CHECK"))</f>
        <v/>
      </c>
      <c r="Q75" s="23">
        <f>IF($A75="","",IFERROR(INDEX('Ref_Tolerance'!$E$2:$E$9,MATCH($J75,'Ref_Tolerance'!$A$2:$A$9,0)),""))</f>
        <v/>
      </c>
      <c r="R75" s="23">
        <f>IF($A75="","",IFERROR(IF($O75=0,"CLEAR",IF($O75=1,"MFR DUE - MANAGER",IF($O75=2,"MFR DUE - FSS/CC SIGNATURE REQUIRED","INVESTIGATION + REPORT OF SURVEY; MSG/CC NOTIFIED"))),""))</f>
        <v/>
      </c>
      <c r="S75" s="23">
        <f>IF($A75="","",IF($O75=2,"WATCH - ONE MORE MISS TRIGGERS INVESTIGATION",""))</f>
        <v/>
      </c>
      <c r="T75" s="23">
        <f>IF($A75="","",IFERROR(IF(AND($O75&gt;=1,$F75&lt;&gt;"Y"),"MFR NOT SUBMITTED",IF(AND($O75&gt;=2,$G75&lt;&gt;"Y"),"FSS/CC SIGNATURE MISSING",IF(AND($O75&gt;=3,$H75&lt;&gt;"Y"),"INVESTIGATION NOT OPENED",""))),""))</f>
        <v/>
      </c>
      <c r="U75" s="25">
        <f>IF($A75="",0,IFERROR(MATCH($B75,'Ref_Calendar'!$A$2:$A$500,0),0))</f>
        <v/>
      </c>
      <c r="V75" s="25">
        <f>IF($A75="",0,IFERROR(SUMPRODUCT(MAX(($A$8:$A$307=$A75)*($P$8:$P$307="PASS")*($U$8:$U$307&lt;=$U75)*$U$8:$U$307)),0))</f>
        <v/>
      </c>
      <c r="W75" s="25">
        <f>IF($A75="","",IFERROR(INDEX('Ref_Crosswalk'!$E$2:$E$500,MATCH($A75,'Ref_Crosswalk'!$A$2:$A$500,0)),""))</f>
        <v/>
      </c>
      <c r="X75" s="25">
        <f>IF($A75="","",IFERROR(INDEX('Ref_Crosswalk'!$C$2:$C$500,MATCH($A75,'Ref_Crosswalk'!$A$2:$A$500,0)),""))</f>
        <v/>
      </c>
      <c r="Y75" s="25">
        <f>IF($A75="",0,IF(AND(OR('Out_Dashboard'!$C$5="",$W75='Out_Dashboard'!$C$5),OR('Out_Dashboard'!$C$6="",$X75='Out_Dashboard'!$C$6),OR('Out_Dashboard'!$C$7="",$B75='Out_Dashboard'!$C$7)),1,0))</f>
        <v/>
      </c>
      <c r="Z75" s="25">
        <f>IF(AND($A75&lt;&gt;"",$S75&lt;&gt;"",$Y75=1),SUMPRODUCT(($A$8:$A75&lt;&gt;"")*($S$8:$S75&lt;&gt;"")*($Y$8:$Y75=1)),"")</f>
        <v/>
      </c>
      <c r="AA75" s="25">
        <f>IF(AND($A75&lt;&gt;"",$T75&lt;&gt;"",$Y75=1),SUMPRODUCT(($A$8:$A75&lt;&gt;"")*($T$8:$T75&lt;&gt;"")*($Y$8:$Y75=1)),"")</f>
        <v/>
      </c>
    </row>
    <row r="76">
      <c r="A76" s="13" t="n"/>
      <c r="B76" s="13" t="n"/>
      <c r="C76" s="26" t="n"/>
      <c r="D76" s="26" t="n"/>
      <c r="E76" s="26" t="n"/>
      <c r="F76" s="13" t="n"/>
      <c r="G76" s="13" t="n"/>
      <c r="H76" s="13" t="n"/>
      <c r="I76" s="13" t="n"/>
      <c r="J76" s="23">
        <f>IF($A76="","",IFERROR(INDEX('Ref_Crosswalk'!$F$2:$F$500,MATCH($A76,'Ref_Crosswalk'!$A$2:$A$500,0)),"UNKNOWN"))</f>
        <v/>
      </c>
      <c r="K76" s="24">
        <f>IF($A76="","",IFERROR(INDEX('Ref_Tolerance'!$B$2:$B$9,MATCH($J76,'Ref_Tolerance'!$A$2:$A$9,0)),""))</f>
        <v/>
      </c>
      <c r="L76" s="23">
        <f>IF($A76="","",IFERROR(INDEX('Ref_Tolerance'!$D$2:$D$9,MATCH($J76,'Ref_Tolerance'!$A$2:$A$9,0)),""))</f>
        <v/>
      </c>
      <c r="M76" s="24">
        <f>IF($A76="","",IFERROR(ABS(N($D76))/N($C76),0))</f>
        <v/>
      </c>
      <c r="N76" s="24">
        <f>IF($A76="","",IFERROR(N($E76)/N($C76),0))</f>
        <v/>
      </c>
      <c r="O76" s="23">
        <f>IF($A76="",0,IFERROR(SUMPRODUCT(($A$8:$A$307=$A76)*($P$8:$P$307="FAIL")*($U$8:$U$307&gt;$V76)*($U$8:$U$307&lt;=$U76)),0))</f>
        <v/>
      </c>
      <c r="P76" s="23">
        <f>IF($A76="","",IFERROR(IF(NOT(ISNUMBER($K76)),"CHECK",IF($L76="MARGIN",IF($N76&lt;=$K76,"PASS","FAIL"),IF($M76&lt;=$K76,"PASS","FAIL"))),"CHECK"))</f>
        <v/>
      </c>
      <c r="Q76" s="23">
        <f>IF($A76="","",IFERROR(INDEX('Ref_Tolerance'!$E$2:$E$9,MATCH($J76,'Ref_Tolerance'!$A$2:$A$9,0)),""))</f>
        <v/>
      </c>
      <c r="R76" s="23">
        <f>IF($A76="","",IFERROR(IF($O76=0,"CLEAR",IF($O76=1,"MFR DUE - MANAGER",IF($O76=2,"MFR DUE - FSS/CC SIGNATURE REQUIRED","INVESTIGATION + REPORT OF SURVEY; MSG/CC NOTIFIED"))),""))</f>
        <v/>
      </c>
      <c r="S76" s="23">
        <f>IF($A76="","",IF($O76=2,"WATCH - ONE MORE MISS TRIGGERS INVESTIGATION",""))</f>
        <v/>
      </c>
      <c r="T76" s="23">
        <f>IF($A76="","",IFERROR(IF(AND($O76&gt;=1,$F76&lt;&gt;"Y"),"MFR NOT SUBMITTED",IF(AND($O76&gt;=2,$G76&lt;&gt;"Y"),"FSS/CC SIGNATURE MISSING",IF(AND($O76&gt;=3,$H76&lt;&gt;"Y"),"INVESTIGATION NOT OPENED",""))),""))</f>
        <v/>
      </c>
      <c r="U76" s="25">
        <f>IF($A76="",0,IFERROR(MATCH($B76,'Ref_Calendar'!$A$2:$A$500,0),0))</f>
        <v/>
      </c>
      <c r="V76" s="25">
        <f>IF($A76="",0,IFERROR(SUMPRODUCT(MAX(($A$8:$A$307=$A76)*($P$8:$P$307="PASS")*($U$8:$U$307&lt;=$U76)*$U$8:$U$307)),0))</f>
        <v/>
      </c>
      <c r="W76" s="25">
        <f>IF($A76="","",IFERROR(INDEX('Ref_Crosswalk'!$E$2:$E$500,MATCH($A76,'Ref_Crosswalk'!$A$2:$A$500,0)),""))</f>
        <v/>
      </c>
      <c r="X76" s="25">
        <f>IF($A76="","",IFERROR(INDEX('Ref_Crosswalk'!$C$2:$C$500,MATCH($A76,'Ref_Crosswalk'!$A$2:$A$500,0)),""))</f>
        <v/>
      </c>
      <c r="Y76" s="25">
        <f>IF($A76="",0,IF(AND(OR('Out_Dashboard'!$C$5="",$W76='Out_Dashboard'!$C$5),OR('Out_Dashboard'!$C$6="",$X76='Out_Dashboard'!$C$6),OR('Out_Dashboard'!$C$7="",$B76='Out_Dashboard'!$C$7)),1,0))</f>
        <v/>
      </c>
      <c r="Z76" s="25">
        <f>IF(AND($A76&lt;&gt;"",$S76&lt;&gt;"",$Y76=1),SUMPRODUCT(($A$8:$A76&lt;&gt;"")*($S$8:$S76&lt;&gt;"")*($Y$8:$Y76=1)),"")</f>
        <v/>
      </c>
      <c r="AA76" s="25">
        <f>IF(AND($A76&lt;&gt;"",$T76&lt;&gt;"",$Y76=1),SUMPRODUCT(($A$8:$A76&lt;&gt;"")*($T$8:$T76&lt;&gt;"")*($Y$8:$Y76=1)),"")</f>
        <v/>
      </c>
    </row>
    <row r="77">
      <c r="A77" s="13" t="n"/>
      <c r="B77" s="13" t="n"/>
      <c r="C77" s="26" t="n"/>
      <c r="D77" s="26" t="n"/>
      <c r="E77" s="26" t="n"/>
      <c r="F77" s="13" t="n"/>
      <c r="G77" s="13" t="n"/>
      <c r="H77" s="13" t="n"/>
      <c r="I77" s="13" t="n"/>
      <c r="J77" s="23">
        <f>IF($A77="","",IFERROR(INDEX('Ref_Crosswalk'!$F$2:$F$500,MATCH($A77,'Ref_Crosswalk'!$A$2:$A$500,0)),"UNKNOWN"))</f>
        <v/>
      </c>
      <c r="K77" s="24">
        <f>IF($A77="","",IFERROR(INDEX('Ref_Tolerance'!$B$2:$B$9,MATCH($J77,'Ref_Tolerance'!$A$2:$A$9,0)),""))</f>
        <v/>
      </c>
      <c r="L77" s="23">
        <f>IF($A77="","",IFERROR(INDEX('Ref_Tolerance'!$D$2:$D$9,MATCH($J77,'Ref_Tolerance'!$A$2:$A$9,0)),""))</f>
        <v/>
      </c>
      <c r="M77" s="24">
        <f>IF($A77="","",IFERROR(ABS(N($D77))/N($C77),0))</f>
        <v/>
      </c>
      <c r="N77" s="24">
        <f>IF($A77="","",IFERROR(N($E77)/N($C77),0))</f>
        <v/>
      </c>
      <c r="O77" s="23">
        <f>IF($A77="",0,IFERROR(SUMPRODUCT(($A$8:$A$307=$A77)*($P$8:$P$307="FAIL")*($U$8:$U$307&gt;$V77)*($U$8:$U$307&lt;=$U77)),0))</f>
        <v/>
      </c>
      <c r="P77" s="23">
        <f>IF($A77="","",IFERROR(IF(NOT(ISNUMBER($K77)),"CHECK",IF($L77="MARGIN",IF($N77&lt;=$K77,"PASS","FAIL"),IF($M77&lt;=$K77,"PASS","FAIL"))),"CHECK"))</f>
        <v/>
      </c>
      <c r="Q77" s="23">
        <f>IF($A77="","",IFERROR(INDEX('Ref_Tolerance'!$E$2:$E$9,MATCH($J77,'Ref_Tolerance'!$A$2:$A$9,0)),""))</f>
        <v/>
      </c>
      <c r="R77" s="23">
        <f>IF($A77="","",IFERROR(IF($O77=0,"CLEAR",IF($O77=1,"MFR DUE - MANAGER",IF($O77=2,"MFR DUE - FSS/CC SIGNATURE REQUIRED","INVESTIGATION + REPORT OF SURVEY; MSG/CC NOTIFIED"))),""))</f>
        <v/>
      </c>
      <c r="S77" s="23">
        <f>IF($A77="","",IF($O77=2,"WATCH - ONE MORE MISS TRIGGERS INVESTIGATION",""))</f>
        <v/>
      </c>
      <c r="T77" s="23">
        <f>IF($A77="","",IFERROR(IF(AND($O77&gt;=1,$F77&lt;&gt;"Y"),"MFR NOT SUBMITTED",IF(AND($O77&gt;=2,$G77&lt;&gt;"Y"),"FSS/CC SIGNATURE MISSING",IF(AND($O77&gt;=3,$H77&lt;&gt;"Y"),"INVESTIGATION NOT OPENED",""))),""))</f>
        <v/>
      </c>
      <c r="U77" s="25">
        <f>IF($A77="",0,IFERROR(MATCH($B77,'Ref_Calendar'!$A$2:$A$500,0),0))</f>
        <v/>
      </c>
      <c r="V77" s="25">
        <f>IF($A77="",0,IFERROR(SUMPRODUCT(MAX(($A$8:$A$307=$A77)*($P$8:$P$307="PASS")*($U$8:$U$307&lt;=$U77)*$U$8:$U$307)),0))</f>
        <v/>
      </c>
      <c r="W77" s="25">
        <f>IF($A77="","",IFERROR(INDEX('Ref_Crosswalk'!$E$2:$E$500,MATCH($A77,'Ref_Crosswalk'!$A$2:$A$500,0)),""))</f>
        <v/>
      </c>
      <c r="X77" s="25">
        <f>IF($A77="","",IFERROR(INDEX('Ref_Crosswalk'!$C$2:$C$500,MATCH($A77,'Ref_Crosswalk'!$A$2:$A$500,0)),""))</f>
        <v/>
      </c>
      <c r="Y77" s="25">
        <f>IF($A77="",0,IF(AND(OR('Out_Dashboard'!$C$5="",$W77='Out_Dashboard'!$C$5),OR('Out_Dashboard'!$C$6="",$X77='Out_Dashboard'!$C$6),OR('Out_Dashboard'!$C$7="",$B77='Out_Dashboard'!$C$7)),1,0))</f>
        <v/>
      </c>
      <c r="Z77" s="25">
        <f>IF(AND($A77&lt;&gt;"",$S77&lt;&gt;"",$Y77=1),SUMPRODUCT(($A$8:$A77&lt;&gt;"")*($S$8:$S77&lt;&gt;"")*($Y$8:$Y77=1)),"")</f>
        <v/>
      </c>
      <c r="AA77" s="25">
        <f>IF(AND($A77&lt;&gt;"",$T77&lt;&gt;"",$Y77=1),SUMPRODUCT(($A$8:$A77&lt;&gt;"")*($T$8:$T77&lt;&gt;"")*($Y$8:$Y77=1)),"")</f>
        <v/>
      </c>
    </row>
    <row r="78">
      <c r="A78" s="13" t="n"/>
      <c r="B78" s="13" t="n"/>
      <c r="C78" s="26" t="n"/>
      <c r="D78" s="26" t="n"/>
      <c r="E78" s="26" t="n"/>
      <c r="F78" s="13" t="n"/>
      <c r="G78" s="13" t="n"/>
      <c r="H78" s="13" t="n"/>
      <c r="I78" s="13" t="n"/>
      <c r="J78" s="23">
        <f>IF($A78="","",IFERROR(INDEX('Ref_Crosswalk'!$F$2:$F$500,MATCH($A78,'Ref_Crosswalk'!$A$2:$A$500,0)),"UNKNOWN"))</f>
        <v/>
      </c>
      <c r="K78" s="24">
        <f>IF($A78="","",IFERROR(INDEX('Ref_Tolerance'!$B$2:$B$9,MATCH($J78,'Ref_Tolerance'!$A$2:$A$9,0)),""))</f>
        <v/>
      </c>
      <c r="L78" s="23">
        <f>IF($A78="","",IFERROR(INDEX('Ref_Tolerance'!$D$2:$D$9,MATCH($J78,'Ref_Tolerance'!$A$2:$A$9,0)),""))</f>
        <v/>
      </c>
      <c r="M78" s="24">
        <f>IF($A78="","",IFERROR(ABS(N($D78))/N($C78),0))</f>
        <v/>
      </c>
      <c r="N78" s="24">
        <f>IF($A78="","",IFERROR(N($E78)/N($C78),0))</f>
        <v/>
      </c>
      <c r="O78" s="23">
        <f>IF($A78="",0,IFERROR(SUMPRODUCT(($A$8:$A$307=$A78)*($P$8:$P$307="FAIL")*($U$8:$U$307&gt;$V78)*($U$8:$U$307&lt;=$U78)),0))</f>
        <v/>
      </c>
      <c r="P78" s="23">
        <f>IF($A78="","",IFERROR(IF(NOT(ISNUMBER($K78)),"CHECK",IF($L78="MARGIN",IF($N78&lt;=$K78,"PASS","FAIL"),IF($M78&lt;=$K78,"PASS","FAIL"))),"CHECK"))</f>
        <v/>
      </c>
      <c r="Q78" s="23">
        <f>IF($A78="","",IFERROR(INDEX('Ref_Tolerance'!$E$2:$E$9,MATCH($J78,'Ref_Tolerance'!$A$2:$A$9,0)),""))</f>
        <v/>
      </c>
      <c r="R78" s="23">
        <f>IF($A78="","",IFERROR(IF($O78=0,"CLEAR",IF($O78=1,"MFR DUE - MANAGER",IF($O78=2,"MFR DUE - FSS/CC SIGNATURE REQUIRED","INVESTIGATION + REPORT OF SURVEY; MSG/CC NOTIFIED"))),""))</f>
        <v/>
      </c>
      <c r="S78" s="23">
        <f>IF($A78="","",IF($O78=2,"WATCH - ONE MORE MISS TRIGGERS INVESTIGATION",""))</f>
        <v/>
      </c>
      <c r="T78" s="23">
        <f>IF($A78="","",IFERROR(IF(AND($O78&gt;=1,$F78&lt;&gt;"Y"),"MFR NOT SUBMITTED",IF(AND($O78&gt;=2,$G78&lt;&gt;"Y"),"FSS/CC SIGNATURE MISSING",IF(AND($O78&gt;=3,$H78&lt;&gt;"Y"),"INVESTIGATION NOT OPENED",""))),""))</f>
        <v/>
      </c>
      <c r="U78" s="25">
        <f>IF($A78="",0,IFERROR(MATCH($B78,'Ref_Calendar'!$A$2:$A$500,0),0))</f>
        <v/>
      </c>
      <c r="V78" s="25">
        <f>IF($A78="",0,IFERROR(SUMPRODUCT(MAX(($A$8:$A$307=$A78)*($P$8:$P$307="PASS")*($U$8:$U$307&lt;=$U78)*$U$8:$U$307)),0))</f>
        <v/>
      </c>
      <c r="W78" s="25">
        <f>IF($A78="","",IFERROR(INDEX('Ref_Crosswalk'!$E$2:$E$500,MATCH($A78,'Ref_Crosswalk'!$A$2:$A$500,0)),""))</f>
        <v/>
      </c>
      <c r="X78" s="25">
        <f>IF($A78="","",IFERROR(INDEX('Ref_Crosswalk'!$C$2:$C$500,MATCH($A78,'Ref_Crosswalk'!$A$2:$A$500,0)),""))</f>
        <v/>
      </c>
      <c r="Y78" s="25">
        <f>IF($A78="",0,IF(AND(OR('Out_Dashboard'!$C$5="",$W78='Out_Dashboard'!$C$5),OR('Out_Dashboard'!$C$6="",$X78='Out_Dashboard'!$C$6),OR('Out_Dashboard'!$C$7="",$B78='Out_Dashboard'!$C$7)),1,0))</f>
        <v/>
      </c>
      <c r="Z78" s="25">
        <f>IF(AND($A78&lt;&gt;"",$S78&lt;&gt;"",$Y78=1),SUMPRODUCT(($A$8:$A78&lt;&gt;"")*($S$8:$S78&lt;&gt;"")*($Y$8:$Y78=1)),"")</f>
        <v/>
      </c>
      <c r="AA78" s="25">
        <f>IF(AND($A78&lt;&gt;"",$T78&lt;&gt;"",$Y78=1),SUMPRODUCT(($A$8:$A78&lt;&gt;"")*($T$8:$T78&lt;&gt;"")*($Y$8:$Y78=1)),"")</f>
        <v/>
      </c>
    </row>
    <row r="79">
      <c r="A79" s="13" t="n"/>
      <c r="B79" s="13" t="n"/>
      <c r="C79" s="26" t="n"/>
      <c r="D79" s="26" t="n"/>
      <c r="E79" s="26" t="n"/>
      <c r="F79" s="13" t="n"/>
      <c r="G79" s="13" t="n"/>
      <c r="H79" s="13" t="n"/>
      <c r="I79" s="13" t="n"/>
      <c r="J79" s="23">
        <f>IF($A79="","",IFERROR(INDEX('Ref_Crosswalk'!$F$2:$F$500,MATCH($A79,'Ref_Crosswalk'!$A$2:$A$500,0)),"UNKNOWN"))</f>
        <v/>
      </c>
      <c r="K79" s="24">
        <f>IF($A79="","",IFERROR(INDEX('Ref_Tolerance'!$B$2:$B$9,MATCH($J79,'Ref_Tolerance'!$A$2:$A$9,0)),""))</f>
        <v/>
      </c>
      <c r="L79" s="23">
        <f>IF($A79="","",IFERROR(INDEX('Ref_Tolerance'!$D$2:$D$9,MATCH($J79,'Ref_Tolerance'!$A$2:$A$9,0)),""))</f>
        <v/>
      </c>
      <c r="M79" s="24">
        <f>IF($A79="","",IFERROR(ABS(N($D79))/N($C79),0))</f>
        <v/>
      </c>
      <c r="N79" s="24">
        <f>IF($A79="","",IFERROR(N($E79)/N($C79),0))</f>
        <v/>
      </c>
      <c r="O79" s="23">
        <f>IF($A79="",0,IFERROR(SUMPRODUCT(($A$8:$A$307=$A79)*($P$8:$P$307="FAIL")*($U$8:$U$307&gt;$V79)*($U$8:$U$307&lt;=$U79)),0))</f>
        <v/>
      </c>
      <c r="P79" s="23">
        <f>IF($A79="","",IFERROR(IF(NOT(ISNUMBER($K79)),"CHECK",IF($L79="MARGIN",IF($N79&lt;=$K79,"PASS","FAIL"),IF($M79&lt;=$K79,"PASS","FAIL"))),"CHECK"))</f>
        <v/>
      </c>
      <c r="Q79" s="23">
        <f>IF($A79="","",IFERROR(INDEX('Ref_Tolerance'!$E$2:$E$9,MATCH($J79,'Ref_Tolerance'!$A$2:$A$9,0)),""))</f>
        <v/>
      </c>
      <c r="R79" s="23">
        <f>IF($A79="","",IFERROR(IF($O79=0,"CLEAR",IF($O79=1,"MFR DUE - MANAGER",IF($O79=2,"MFR DUE - FSS/CC SIGNATURE REQUIRED","INVESTIGATION + REPORT OF SURVEY; MSG/CC NOTIFIED"))),""))</f>
        <v/>
      </c>
      <c r="S79" s="23">
        <f>IF($A79="","",IF($O79=2,"WATCH - ONE MORE MISS TRIGGERS INVESTIGATION",""))</f>
        <v/>
      </c>
      <c r="T79" s="23">
        <f>IF($A79="","",IFERROR(IF(AND($O79&gt;=1,$F79&lt;&gt;"Y"),"MFR NOT SUBMITTED",IF(AND($O79&gt;=2,$G79&lt;&gt;"Y"),"FSS/CC SIGNATURE MISSING",IF(AND($O79&gt;=3,$H79&lt;&gt;"Y"),"INVESTIGATION NOT OPENED",""))),""))</f>
        <v/>
      </c>
      <c r="U79" s="25">
        <f>IF($A79="",0,IFERROR(MATCH($B79,'Ref_Calendar'!$A$2:$A$500,0),0))</f>
        <v/>
      </c>
      <c r="V79" s="25">
        <f>IF($A79="",0,IFERROR(SUMPRODUCT(MAX(($A$8:$A$307=$A79)*($P$8:$P$307="PASS")*($U$8:$U$307&lt;=$U79)*$U$8:$U$307)),0))</f>
        <v/>
      </c>
      <c r="W79" s="25">
        <f>IF($A79="","",IFERROR(INDEX('Ref_Crosswalk'!$E$2:$E$500,MATCH($A79,'Ref_Crosswalk'!$A$2:$A$500,0)),""))</f>
        <v/>
      </c>
      <c r="X79" s="25">
        <f>IF($A79="","",IFERROR(INDEX('Ref_Crosswalk'!$C$2:$C$500,MATCH($A79,'Ref_Crosswalk'!$A$2:$A$500,0)),""))</f>
        <v/>
      </c>
      <c r="Y79" s="25">
        <f>IF($A79="",0,IF(AND(OR('Out_Dashboard'!$C$5="",$W79='Out_Dashboard'!$C$5),OR('Out_Dashboard'!$C$6="",$X79='Out_Dashboard'!$C$6),OR('Out_Dashboard'!$C$7="",$B79='Out_Dashboard'!$C$7)),1,0))</f>
        <v/>
      </c>
      <c r="Z79" s="25">
        <f>IF(AND($A79&lt;&gt;"",$S79&lt;&gt;"",$Y79=1),SUMPRODUCT(($A$8:$A79&lt;&gt;"")*($S$8:$S79&lt;&gt;"")*($Y$8:$Y79=1)),"")</f>
        <v/>
      </c>
      <c r="AA79" s="25">
        <f>IF(AND($A79&lt;&gt;"",$T79&lt;&gt;"",$Y79=1),SUMPRODUCT(($A$8:$A79&lt;&gt;"")*($T$8:$T79&lt;&gt;"")*($Y$8:$Y79=1)),"")</f>
        <v/>
      </c>
    </row>
    <row r="80">
      <c r="A80" s="13" t="n"/>
      <c r="B80" s="13" t="n"/>
      <c r="C80" s="26" t="n"/>
      <c r="D80" s="26" t="n"/>
      <c r="E80" s="26" t="n"/>
      <c r="F80" s="13" t="n"/>
      <c r="G80" s="13" t="n"/>
      <c r="H80" s="13" t="n"/>
      <c r="I80" s="13" t="n"/>
      <c r="J80" s="23">
        <f>IF($A80="","",IFERROR(INDEX('Ref_Crosswalk'!$F$2:$F$500,MATCH($A80,'Ref_Crosswalk'!$A$2:$A$500,0)),"UNKNOWN"))</f>
        <v/>
      </c>
      <c r="K80" s="24">
        <f>IF($A80="","",IFERROR(INDEX('Ref_Tolerance'!$B$2:$B$9,MATCH($J80,'Ref_Tolerance'!$A$2:$A$9,0)),""))</f>
        <v/>
      </c>
      <c r="L80" s="23">
        <f>IF($A80="","",IFERROR(INDEX('Ref_Tolerance'!$D$2:$D$9,MATCH($J80,'Ref_Tolerance'!$A$2:$A$9,0)),""))</f>
        <v/>
      </c>
      <c r="M80" s="24">
        <f>IF($A80="","",IFERROR(ABS(N($D80))/N($C80),0))</f>
        <v/>
      </c>
      <c r="N80" s="24">
        <f>IF($A80="","",IFERROR(N($E80)/N($C80),0))</f>
        <v/>
      </c>
      <c r="O80" s="23">
        <f>IF($A80="",0,IFERROR(SUMPRODUCT(($A$8:$A$307=$A80)*($P$8:$P$307="FAIL")*($U$8:$U$307&gt;$V80)*($U$8:$U$307&lt;=$U80)),0))</f>
        <v/>
      </c>
      <c r="P80" s="23">
        <f>IF($A80="","",IFERROR(IF(NOT(ISNUMBER($K80)),"CHECK",IF($L80="MARGIN",IF($N80&lt;=$K80,"PASS","FAIL"),IF($M80&lt;=$K80,"PASS","FAIL"))),"CHECK"))</f>
        <v/>
      </c>
      <c r="Q80" s="23">
        <f>IF($A80="","",IFERROR(INDEX('Ref_Tolerance'!$E$2:$E$9,MATCH($J80,'Ref_Tolerance'!$A$2:$A$9,0)),""))</f>
        <v/>
      </c>
      <c r="R80" s="23">
        <f>IF($A80="","",IFERROR(IF($O80=0,"CLEAR",IF($O80=1,"MFR DUE - MANAGER",IF($O80=2,"MFR DUE - FSS/CC SIGNATURE REQUIRED","INVESTIGATION + REPORT OF SURVEY; MSG/CC NOTIFIED"))),""))</f>
        <v/>
      </c>
      <c r="S80" s="23">
        <f>IF($A80="","",IF($O80=2,"WATCH - ONE MORE MISS TRIGGERS INVESTIGATION",""))</f>
        <v/>
      </c>
      <c r="T80" s="23">
        <f>IF($A80="","",IFERROR(IF(AND($O80&gt;=1,$F80&lt;&gt;"Y"),"MFR NOT SUBMITTED",IF(AND($O80&gt;=2,$G80&lt;&gt;"Y"),"FSS/CC SIGNATURE MISSING",IF(AND($O80&gt;=3,$H80&lt;&gt;"Y"),"INVESTIGATION NOT OPENED",""))),""))</f>
        <v/>
      </c>
      <c r="U80" s="25">
        <f>IF($A80="",0,IFERROR(MATCH($B80,'Ref_Calendar'!$A$2:$A$500,0),0))</f>
        <v/>
      </c>
      <c r="V80" s="25">
        <f>IF($A80="",0,IFERROR(SUMPRODUCT(MAX(($A$8:$A$307=$A80)*($P$8:$P$307="PASS")*($U$8:$U$307&lt;=$U80)*$U$8:$U$307)),0))</f>
        <v/>
      </c>
      <c r="W80" s="25">
        <f>IF($A80="","",IFERROR(INDEX('Ref_Crosswalk'!$E$2:$E$500,MATCH($A80,'Ref_Crosswalk'!$A$2:$A$500,0)),""))</f>
        <v/>
      </c>
      <c r="X80" s="25">
        <f>IF($A80="","",IFERROR(INDEX('Ref_Crosswalk'!$C$2:$C$500,MATCH($A80,'Ref_Crosswalk'!$A$2:$A$500,0)),""))</f>
        <v/>
      </c>
      <c r="Y80" s="25">
        <f>IF($A80="",0,IF(AND(OR('Out_Dashboard'!$C$5="",$W80='Out_Dashboard'!$C$5),OR('Out_Dashboard'!$C$6="",$X80='Out_Dashboard'!$C$6),OR('Out_Dashboard'!$C$7="",$B80='Out_Dashboard'!$C$7)),1,0))</f>
        <v/>
      </c>
      <c r="Z80" s="25">
        <f>IF(AND($A80&lt;&gt;"",$S80&lt;&gt;"",$Y80=1),SUMPRODUCT(($A$8:$A80&lt;&gt;"")*($S$8:$S80&lt;&gt;"")*($Y$8:$Y80=1)),"")</f>
        <v/>
      </c>
      <c r="AA80" s="25">
        <f>IF(AND($A80&lt;&gt;"",$T80&lt;&gt;"",$Y80=1),SUMPRODUCT(($A$8:$A80&lt;&gt;"")*($T$8:$T80&lt;&gt;"")*($Y$8:$Y80=1)),"")</f>
        <v/>
      </c>
    </row>
    <row r="81">
      <c r="A81" s="13" t="n"/>
      <c r="B81" s="13" t="n"/>
      <c r="C81" s="26" t="n"/>
      <c r="D81" s="26" t="n"/>
      <c r="E81" s="26" t="n"/>
      <c r="F81" s="13" t="n"/>
      <c r="G81" s="13" t="n"/>
      <c r="H81" s="13" t="n"/>
      <c r="I81" s="13" t="n"/>
      <c r="J81" s="23">
        <f>IF($A81="","",IFERROR(INDEX('Ref_Crosswalk'!$F$2:$F$500,MATCH($A81,'Ref_Crosswalk'!$A$2:$A$500,0)),"UNKNOWN"))</f>
        <v/>
      </c>
      <c r="K81" s="24">
        <f>IF($A81="","",IFERROR(INDEX('Ref_Tolerance'!$B$2:$B$9,MATCH($J81,'Ref_Tolerance'!$A$2:$A$9,0)),""))</f>
        <v/>
      </c>
      <c r="L81" s="23">
        <f>IF($A81="","",IFERROR(INDEX('Ref_Tolerance'!$D$2:$D$9,MATCH($J81,'Ref_Tolerance'!$A$2:$A$9,0)),""))</f>
        <v/>
      </c>
      <c r="M81" s="24">
        <f>IF($A81="","",IFERROR(ABS(N($D81))/N($C81),0))</f>
        <v/>
      </c>
      <c r="N81" s="24">
        <f>IF($A81="","",IFERROR(N($E81)/N($C81),0))</f>
        <v/>
      </c>
      <c r="O81" s="23">
        <f>IF($A81="",0,IFERROR(SUMPRODUCT(($A$8:$A$307=$A81)*($P$8:$P$307="FAIL")*($U$8:$U$307&gt;$V81)*($U$8:$U$307&lt;=$U81)),0))</f>
        <v/>
      </c>
      <c r="P81" s="23">
        <f>IF($A81="","",IFERROR(IF(NOT(ISNUMBER($K81)),"CHECK",IF($L81="MARGIN",IF($N81&lt;=$K81,"PASS","FAIL"),IF($M81&lt;=$K81,"PASS","FAIL"))),"CHECK"))</f>
        <v/>
      </c>
      <c r="Q81" s="23">
        <f>IF($A81="","",IFERROR(INDEX('Ref_Tolerance'!$E$2:$E$9,MATCH($J81,'Ref_Tolerance'!$A$2:$A$9,0)),""))</f>
        <v/>
      </c>
      <c r="R81" s="23">
        <f>IF($A81="","",IFERROR(IF($O81=0,"CLEAR",IF($O81=1,"MFR DUE - MANAGER",IF($O81=2,"MFR DUE - FSS/CC SIGNATURE REQUIRED","INVESTIGATION + REPORT OF SURVEY; MSG/CC NOTIFIED"))),""))</f>
        <v/>
      </c>
      <c r="S81" s="23">
        <f>IF($A81="","",IF($O81=2,"WATCH - ONE MORE MISS TRIGGERS INVESTIGATION",""))</f>
        <v/>
      </c>
      <c r="T81" s="23">
        <f>IF($A81="","",IFERROR(IF(AND($O81&gt;=1,$F81&lt;&gt;"Y"),"MFR NOT SUBMITTED",IF(AND($O81&gt;=2,$G81&lt;&gt;"Y"),"FSS/CC SIGNATURE MISSING",IF(AND($O81&gt;=3,$H81&lt;&gt;"Y"),"INVESTIGATION NOT OPENED",""))),""))</f>
        <v/>
      </c>
      <c r="U81" s="25">
        <f>IF($A81="",0,IFERROR(MATCH($B81,'Ref_Calendar'!$A$2:$A$500,0),0))</f>
        <v/>
      </c>
      <c r="V81" s="25">
        <f>IF($A81="",0,IFERROR(SUMPRODUCT(MAX(($A$8:$A$307=$A81)*($P$8:$P$307="PASS")*($U$8:$U$307&lt;=$U81)*$U$8:$U$307)),0))</f>
        <v/>
      </c>
      <c r="W81" s="25">
        <f>IF($A81="","",IFERROR(INDEX('Ref_Crosswalk'!$E$2:$E$500,MATCH($A81,'Ref_Crosswalk'!$A$2:$A$500,0)),""))</f>
        <v/>
      </c>
      <c r="X81" s="25">
        <f>IF($A81="","",IFERROR(INDEX('Ref_Crosswalk'!$C$2:$C$500,MATCH($A81,'Ref_Crosswalk'!$A$2:$A$500,0)),""))</f>
        <v/>
      </c>
      <c r="Y81" s="25">
        <f>IF($A81="",0,IF(AND(OR('Out_Dashboard'!$C$5="",$W81='Out_Dashboard'!$C$5),OR('Out_Dashboard'!$C$6="",$X81='Out_Dashboard'!$C$6),OR('Out_Dashboard'!$C$7="",$B81='Out_Dashboard'!$C$7)),1,0))</f>
        <v/>
      </c>
      <c r="Z81" s="25">
        <f>IF(AND($A81&lt;&gt;"",$S81&lt;&gt;"",$Y81=1),SUMPRODUCT(($A$8:$A81&lt;&gt;"")*($S$8:$S81&lt;&gt;"")*($Y$8:$Y81=1)),"")</f>
        <v/>
      </c>
      <c r="AA81" s="25">
        <f>IF(AND($A81&lt;&gt;"",$T81&lt;&gt;"",$Y81=1),SUMPRODUCT(($A$8:$A81&lt;&gt;"")*($T$8:$T81&lt;&gt;"")*($Y$8:$Y81=1)),"")</f>
        <v/>
      </c>
    </row>
    <row r="82">
      <c r="A82" s="13" t="n"/>
      <c r="B82" s="13" t="n"/>
      <c r="C82" s="26" t="n"/>
      <c r="D82" s="26" t="n"/>
      <c r="E82" s="26" t="n"/>
      <c r="F82" s="13" t="n"/>
      <c r="G82" s="13" t="n"/>
      <c r="H82" s="13" t="n"/>
      <c r="I82" s="13" t="n"/>
      <c r="J82" s="23">
        <f>IF($A82="","",IFERROR(INDEX('Ref_Crosswalk'!$F$2:$F$500,MATCH($A82,'Ref_Crosswalk'!$A$2:$A$500,0)),"UNKNOWN"))</f>
        <v/>
      </c>
      <c r="K82" s="24">
        <f>IF($A82="","",IFERROR(INDEX('Ref_Tolerance'!$B$2:$B$9,MATCH($J82,'Ref_Tolerance'!$A$2:$A$9,0)),""))</f>
        <v/>
      </c>
      <c r="L82" s="23">
        <f>IF($A82="","",IFERROR(INDEX('Ref_Tolerance'!$D$2:$D$9,MATCH($J82,'Ref_Tolerance'!$A$2:$A$9,0)),""))</f>
        <v/>
      </c>
      <c r="M82" s="24">
        <f>IF($A82="","",IFERROR(ABS(N($D82))/N($C82),0))</f>
        <v/>
      </c>
      <c r="N82" s="24">
        <f>IF($A82="","",IFERROR(N($E82)/N($C82),0))</f>
        <v/>
      </c>
      <c r="O82" s="23">
        <f>IF($A82="",0,IFERROR(SUMPRODUCT(($A$8:$A$307=$A82)*($P$8:$P$307="FAIL")*($U$8:$U$307&gt;$V82)*($U$8:$U$307&lt;=$U82)),0))</f>
        <v/>
      </c>
      <c r="P82" s="23">
        <f>IF($A82="","",IFERROR(IF(NOT(ISNUMBER($K82)),"CHECK",IF($L82="MARGIN",IF($N82&lt;=$K82,"PASS","FAIL"),IF($M82&lt;=$K82,"PASS","FAIL"))),"CHECK"))</f>
        <v/>
      </c>
      <c r="Q82" s="23">
        <f>IF($A82="","",IFERROR(INDEX('Ref_Tolerance'!$E$2:$E$9,MATCH($J82,'Ref_Tolerance'!$A$2:$A$9,0)),""))</f>
        <v/>
      </c>
      <c r="R82" s="23">
        <f>IF($A82="","",IFERROR(IF($O82=0,"CLEAR",IF($O82=1,"MFR DUE - MANAGER",IF($O82=2,"MFR DUE - FSS/CC SIGNATURE REQUIRED","INVESTIGATION + REPORT OF SURVEY; MSG/CC NOTIFIED"))),""))</f>
        <v/>
      </c>
      <c r="S82" s="23">
        <f>IF($A82="","",IF($O82=2,"WATCH - ONE MORE MISS TRIGGERS INVESTIGATION",""))</f>
        <v/>
      </c>
      <c r="T82" s="23">
        <f>IF($A82="","",IFERROR(IF(AND($O82&gt;=1,$F82&lt;&gt;"Y"),"MFR NOT SUBMITTED",IF(AND($O82&gt;=2,$G82&lt;&gt;"Y"),"FSS/CC SIGNATURE MISSING",IF(AND($O82&gt;=3,$H82&lt;&gt;"Y"),"INVESTIGATION NOT OPENED",""))),""))</f>
        <v/>
      </c>
      <c r="U82" s="25">
        <f>IF($A82="",0,IFERROR(MATCH($B82,'Ref_Calendar'!$A$2:$A$500,0),0))</f>
        <v/>
      </c>
      <c r="V82" s="25">
        <f>IF($A82="",0,IFERROR(SUMPRODUCT(MAX(($A$8:$A$307=$A82)*($P$8:$P$307="PASS")*($U$8:$U$307&lt;=$U82)*$U$8:$U$307)),0))</f>
        <v/>
      </c>
      <c r="W82" s="25">
        <f>IF($A82="","",IFERROR(INDEX('Ref_Crosswalk'!$E$2:$E$500,MATCH($A82,'Ref_Crosswalk'!$A$2:$A$500,0)),""))</f>
        <v/>
      </c>
      <c r="X82" s="25">
        <f>IF($A82="","",IFERROR(INDEX('Ref_Crosswalk'!$C$2:$C$500,MATCH($A82,'Ref_Crosswalk'!$A$2:$A$500,0)),""))</f>
        <v/>
      </c>
      <c r="Y82" s="25">
        <f>IF($A82="",0,IF(AND(OR('Out_Dashboard'!$C$5="",$W82='Out_Dashboard'!$C$5),OR('Out_Dashboard'!$C$6="",$X82='Out_Dashboard'!$C$6),OR('Out_Dashboard'!$C$7="",$B82='Out_Dashboard'!$C$7)),1,0))</f>
        <v/>
      </c>
      <c r="Z82" s="25">
        <f>IF(AND($A82&lt;&gt;"",$S82&lt;&gt;"",$Y82=1),SUMPRODUCT(($A$8:$A82&lt;&gt;"")*($S$8:$S82&lt;&gt;"")*($Y$8:$Y82=1)),"")</f>
        <v/>
      </c>
      <c r="AA82" s="25">
        <f>IF(AND($A82&lt;&gt;"",$T82&lt;&gt;"",$Y82=1),SUMPRODUCT(($A$8:$A82&lt;&gt;"")*($T$8:$T82&lt;&gt;"")*($Y$8:$Y82=1)),"")</f>
        <v/>
      </c>
    </row>
    <row r="83">
      <c r="A83" s="13" t="n"/>
      <c r="B83" s="13" t="n"/>
      <c r="C83" s="26" t="n"/>
      <c r="D83" s="26" t="n"/>
      <c r="E83" s="26" t="n"/>
      <c r="F83" s="13" t="n"/>
      <c r="G83" s="13" t="n"/>
      <c r="H83" s="13" t="n"/>
      <c r="I83" s="13" t="n"/>
      <c r="J83" s="23">
        <f>IF($A83="","",IFERROR(INDEX('Ref_Crosswalk'!$F$2:$F$500,MATCH($A83,'Ref_Crosswalk'!$A$2:$A$500,0)),"UNKNOWN"))</f>
        <v/>
      </c>
      <c r="K83" s="24">
        <f>IF($A83="","",IFERROR(INDEX('Ref_Tolerance'!$B$2:$B$9,MATCH($J83,'Ref_Tolerance'!$A$2:$A$9,0)),""))</f>
        <v/>
      </c>
      <c r="L83" s="23">
        <f>IF($A83="","",IFERROR(INDEX('Ref_Tolerance'!$D$2:$D$9,MATCH($J83,'Ref_Tolerance'!$A$2:$A$9,0)),""))</f>
        <v/>
      </c>
      <c r="M83" s="24">
        <f>IF($A83="","",IFERROR(ABS(N($D83))/N($C83),0))</f>
        <v/>
      </c>
      <c r="N83" s="24">
        <f>IF($A83="","",IFERROR(N($E83)/N($C83),0))</f>
        <v/>
      </c>
      <c r="O83" s="23">
        <f>IF($A83="",0,IFERROR(SUMPRODUCT(($A$8:$A$307=$A83)*($P$8:$P$307="FAIL")*($U$8:$U$307&gt;$V83)*($U$8:$U$307&lt;=$U83)),0))</f>
        <v/>
      </c>
      <c r="P83" s="23">
        <f>IF($A83="","",IFERROR(IF(NOT(ISNUMBER($K83)),"CHECK",IF($L83="MARGIN",IF($N83&lt;=$K83,"PASS","FAIL"),IF($M83&lt;=$K83,"PASS","FAIL"))),"CHECK"))</f>
        <v/>
      </c>
      <c r="Q83" s="23">
        <f>IF($A83="","",IFERROR(INDEX('Ref_Tolerance'!$E$2:$E$9,MATCH($J83,'Ref_Tolerance'!$A$2:$A$9,0)),""))</f>
        <v/>
      </c>
      <c r="R83" s="23">
        <f>IF($A83="","",IFERROR(IF($O83=0,"CLEAR",IF($O83=1,"MFR DUE - MANAGER",IF($O83=2,"MFR DUE - FSS/CC SIGNATURE REQUIRED","INVESTIGATION + REPORT OF SURVEY; MSG/CC NOTIFIED"))),""))</f>
        <v/>
      </c>
      <c r="S83" s="23">
        <f>IF($A83="","",IF($O83=2,"WATCH - ONE MORE MISS TRIGGERS INVESTIGATION",""))</f>
        <v/>
      </c>
      <c r="T83" s="23">
        <f>IF($A83="","",IFERROR(IF(AND($O83&gt;=1,$F83&lt;&gt;"Y"),"MFR NOT SUBMITTED",IF(AND($O83&gt;=2,$G83&lt;&gt;"Y"),"FSS/CC SIGNATURE MISSING",IF(AND($O83&gt;=3,$H83&lt;&gt;"Y"),"INVESTIGATION NOT OPENED",""))),""))</f>
        <v/>
      </c>
      <c r="U83" s="25">
        <f>IF($A83="",0,IFERROR(MATCH($B83,'Ref_Calendar'!$A$2:$A$500,0),0))</f>
        <v/>
      </c>
      <c r="V83" s="25">
        <f>IF($A83="",0,IFERROR(SUMPRODUCT(MAX(($A$8:$A$307=$A83)*($P$8:$P$307="PASS")*($U$8:$U$307&lt;=$U83)*$U$8:$U$307)),0))</f>
        <v/>
      </c>
      <c r="W83" s="25">
        <f>IF($A83="","",IFERROR(INDEX('Ref_Crosswalk'!$E$2:$E$500,MATCH($A83,'Ref_Crosswalk'!$A$2:$A$500,0)),""))</f>
        <v/>
      </c>
      <c r="X83" s="25">
        <f>IF($A83="","",IFERROR(INDEX('Ref_Crosswalk'!$C$2:$C$500,MATCH($A83,'Ref_Crosswalk'!$A$2:$A$500,0)),""))</f>
        <v/>
      </c>
      <c r="Y83" s="25">
        <f>IF($A83="",0,IF(AND(OR('Out_Dashboard'!$C$5="",$W83='Out_Dashboard'!$C$5),OR('Out_Dashboard'!$C$6="",$X83='Out_Dashboard'!$C$6),OR('Out_Dashboard'!$C$7="",$B83='Out_Dashboard'!$C$7)),1,0))</f>
        <v/>
      </c>
      <c r="Z83" s="25">
        <f>IF(AND($A83&lt;&gt;"",$S83&lt;&gt;"",$Y83=1),SUMPRODUCT(($A$8:$A83&lt;&gt;"")*($S$8:$S83&lt;&gt;"")*($Y$8:$Y83=1)),"")</f>
        <v/>
      </c>
      <c r="AA83" s="25">
        <f>IF(AND($A83&lt;&gt;"",$T83&lt;&gt;"",$Y83=1),SUMPRODUCT(($A$8:$A83&lt;&gt;"")*($T$8:$T83&lt;&gt;"")*($Y$8:$Y83=1)),"")</f>
        <v/>
      </c>
    </row>
    <row r="84">
      <c r="A84" s="13" t="n"/>
      <c r="B84" s="13" t="n"/>
      <c r="C84" s="26" t="n"/>
      <c r="D84" s="26" t="n"/>
      <c r="E84" s="26" t="n"/>
      <c r="F84" s="13" t="n"/>
      <c r="G84" s="13" t="n"/>
      <c r="H84" s="13" t="n"/>
      <c r="I84" s="13" t="n"/>
      <c r="J84" s="23">
        <f>IF($A84="","",IFERROR(INDEX('Ref_Crosswalk'!$F$2:$F$500,MATCH($A84,'Ref_Crosswalk'!$A$2:$A$500,0)),"UNKNOWN"))</f>
        <v/>
      </c>
      <c r="K84" s="24">
        <f>IF($A84="","",IFERROR(INDEX('Ref_Tolerance'!$B$2:$B$9,MATCH($J84,'Ref_Tolerance'!$A$2:$A$9,0)),""))</f>
        <v/>
      </c>
      <c r="L84" s="23">
        <f>IF($A84="","",IFERROR(INDEX('Ref_Tolerance'!$D$2:$D$9,MATCH($J84,'Ref_Tolerance'!$A$2:$A$9,0)),""))</f>
        <v/>
      </c>
      <c r="M84" s="24">
        <f>IF($A84="","",IFERROR(ABS(N($D84))/N($C84),0))</f>
        <v/>
      </c>
      <c r="N84" s="24">
        <f>IF($A84="","",IFERROR(N($E84)/N($C84),0))</f>
        <v/>
      </c>
      <c r="O84" s="23">
        <f>IF($A84="",0,IFERROR(SUMPRODUCT(($A$8:$A$307=$A84)*($P$8:$P$307="FAIL")*($U$8:$U$307&gt;$V84)*($U$8:$U$307&lt;=$U84)),0))</f>
        <v/>
      </c>
      <c r="P84" s="23">
        <f>IF($A84="","",IFERROR(IF(NOT(ISNUMBER($K84)),"CHECK",IF($L84="MARGIN",IF($N84&lt;=$K84,"PASS","FAIL"),IF($M84&lt;=$K84,"PASS","FAIL"))),"CHECK"))</f>
        <v/>
      </c>
      <c r="Q84" s="23">
        <f>IF($A84="","",IFERROR(INDEX('Ref_Tolerance'!$E$2:$E$9,MATCH($J84,'Ref_Tolerance'!$A$2:$A$9,0)),""))</f>
        <v/>
      </c>
      <c r="R84" s="23">
        <f>IF($A84="","",IFERROR(IF($O84=0,"CLEAR",IF($O84=1,"MFR DUE - MANAGER",IF($O84=2,"MFR DUE - FSS/CC SIGNATURE REQUIRED","INVESTIGATION + REPORT OF SURVEY; MSG/CC NOTIFIED"))),""))</f>
        <v/>
      </c>
      <c r="S84" s="23">
        <f>IF($A84="","",IF($O84=2,"WATCH - ONE MORE MISS TRIGGERS INVESTIGATION",""))</f>
        <v/>
      </c>
      <c r="T84" s="23">
        <f>IF($A84="","",IFERROR(IF(AND($O84&gt;=1,$F84&lt;&gt;"Y"),"MFR NOT SUBMITTED",IF(AND($O84&gt;=2,$G84&lt;&gt;"Y"),"FSS/CC SIGNATURE MISSING",IF(AND($O84&gt;=3,$H84&lt;&gt;"Y"),"INVESTIGATION NOT OPENED",""))),""))</f>
        <v/>
      </c>
      <c r="U84" s="25">
        <f>IF($A84="",0,IFERROR(MATCH($B84,'Ref_Calendar'!$A$2:$A$500,0),0))</f>
        <v/>
      </c>
      <c r="V84" s="25">
        <f>IF($A84="",0,IFERROR(SUMPRODUCT(MAX(($A$8:$A$307=$A84)*($P$8:$P$307="PASS")*($U$8:$U$307&lt;=$U84)*$U$8:$U$307)),0))</f>
        <v/>
      </c>
      <c r="W84" s="25">
        <f>IF($A84="","",IFERROR(INDEX('Ref_Crosswalk'!$E$2:$E$500,MATCH($A84,'Ref_Crosswalk'!$A$2:$A$500,0)),""))</f>
        <v/>
      </c>
      <c r="X84" s="25">
        <f>IF($A84="","",IFERROR(INDEX('Ref_Crosswalk'!$C$2:$C$500,MATCH($A84,'Ref_Crosswalk'!$A$2:$A$500,0)),""))</f>
        <v/>
      </c>
      <c r="Y84" s="25">
        <f>IF($A84="",0,IF(AND(OR('Out_Dashboard'!$C$5="",$W84='Out_Dashboard'!$C$5),OR('Out_Dashboard'!$C$6="",$X84='Out_Dashboard'!$C$6),OR('Out_Dashboard'!$C$7="",$B84='Out_Dashboard'!$C$7)),1,0))</f>
        <v/>
      </c>
      <c r="Z84" s="25">
        <f>IF(AND($A84&lt;&gt;"",$S84&lt;&gt;"",$Y84=1),SUMPRODUCT(($A$8:$A84&lt;&gt;"")*($S$8:$S84&lt;&gt;"")*($Y$8:$Y84=1)),"")</f>
        <v/>
      </c>
      <c r="AA84" s="25">
        <f>IF(AND($A84&lt;&gt;"",$T84&lt;&gt;"",$Y84=1),SUMPRODUCT(($A$8:$A84&lt;&gt;"")*($T$8:$T84&lt;&gt;"")*($Y$8:$Y84=1)),"")</f>
        <v/>
      </c>
    </row>
    <row r="85">
      <c r="A85" s="13" t="n"/>
      <c r="B85" s="13" t="n"/>
      <c r="C85" s="26" t="n"/>
      <c r="D85" s="26" t="n"/>
      <c r="E85" s="26" t="n"/>
      <c r="F85" s="13" t="n"/>
      <c r="G85" s="13" t="n"/>
      <c r="H85" s="13" t="n"/>
      <c r="I85" s="13" t="n"/>
      <c r="J85" s="23">
        <f>IF($A85="","",IFERROR(INDEX('Ref_Crosswalk'!$F$2:$F$500,MATCH($A85,'Ref_Crosswalk'!$A$2:$A$500,0)),"UNKNOWN"))</f>
        <v/>
      </c>
      <c r="K85" s="24">
        <f>IF($A85="","",IFERROR(INDEX('Ref_Tolerance'!$B$2:$B$9,MATCH($J85,'Ref_Tolerance'!$A$2:$A$9,0)),""))</f>
        <v/>
      </c>
      <c r="L85" s="23">
        <f>IF($A85="","",IFERROR(INDEX('Ref_Tolerance'!$D$2:$D$9,MATCH($J85,'Ref_Tolerance'!$A$2:$A$9,0)),""))</f>
        <v/>
      </c>
      <c r="M85" s="24">
        <f>IF($A85="","",IFERROR(ABS(N($D85))/N($C85),0))</f>
        <v/>
      </c>
      <c r="N85" s="24">
        <f>IF($A85="","",IFERROR(N($E85)/N($C85),0))</f>
        <v/>
      </c>
      <c r="O85" s="23">
        <f>IF($A85="",0,IFERROR(SUMPRODUCT(($A$8:$A$307=$A85)*($P$8:$P$307="FAIL")*($U$8:$U$307&gt;$V85)*($U$8:$U$307&lt;=$U85)),0))</f>
        <v/>
      </c>
      <c r="P85" s="23">
        <f>IF($A85="","",IFERROR(IF(NOT(ISNUMBER($K85)),"CHECK",IF($L85="MARGIN",IF($N85&lt;=$K85,"PASS","FAIL"),IF($M85&lt;=$K85,"PASS","FAIL"))),"CHECK"))</f>
        <v/>
      </c>
      <c r="Q85" s="23">
        <f>IF($A85="","",IFERROR(INDEX('Ref_Tolerance'!$E$2:$E$9,MATCH($J85,'Ref_Tolerance'!$A$2:$A$9,0)),""))</f>
        <v/>
      </c>
      <c r="R85" s="23">
        <f>IF($A85="","",IFERROR(IF($O85=0,"CLEAR",IF($O85=1,"MFR DUE - MANAGER",IF($O85=2,"MFR DUE - FSS/CC SIGNATURE REQUIRED","INVESTIGATION + REPORT OF SURVEY; MSG/CC NOTIFIED"))),""))</f>
        <v/>
      </c>
      <c r="S85" s="23">
        <f>IF($A85="","",IF($O85=2,"WATCH - ONE MORE MISS TRIGGERS INVESTIGATION",""))</f>
        <v/>
      </c>
      <c r="T85" s="23">
        <f>IF($A85="","",IFERROR(IF(AND($O85&gt;=1,$F85&lt;&gt;"Y"),"MFR NOT SUBMITTED",IF(AND($O85&gt;=2,$G85&lt;&gt;"Y"),"FSS/CC SIGNATURE MISSING",IF(AND($O85&gt;=3,$H85&lt;&gt;"Y"),"INVESTIGATION NOT OPENED",""))),""))</f>
        <v/>
      </c>
      <c r="U85" s="25">
        <f>IF($A85="",0,IFERROR(MATCH($B85,'Ref_Calendar'!$A$2:$A$500,0),0))</f>
        <v/>
      </c>
      <c r="V85" s="25">
        <f>IF($A85="",0,IFERROR(SUMPRODUCT(MAX(($A$8:$A$307=$A85)*($P$8:$P$307="PASS")*($U$8:$U$307&lt;=$U85)*$U$8:$U$307)),0))</f>
        <v/>
      </c>
      <c r="W85" s="25">
        <f>IF($A85="","",IFERROR(INDEX('Ref_Crosswalk'!$E$2:$E$500,MATCH($A85,'Ref_Crosswalk'!$A$2:$A$500,0)),""))</f>
        <v/>
      </c>
      <c r="X85" s="25">
        <f>IF($A85="","",IFERROR(INDEX('Ref_Crosswalk'!$C$2:$C$500,MATCH($A85,'Ref_Crosswalk'!$A$2:$A$500,0)),""))</f>
        <v/>
      </c>
      <c r="Y85" s="25">
        <f>IF($A85="",0,IF(AND(OR('Out_Dashboard'!$C$5="",$W85='Out_Dashboard'!$C$5),OR('Out_Dashboard'!$C$6="",$X85='Out_Dashboard'!$C$6),OR('Out_Dashboard'!$C$7="",$B85='Out_Dashboard'!$C$7)),1,0))</f>
        <v/>
      </c>
      <c r="Z85" s="25">
        <f>IF(AND($A85&lt;&gt;"",$S85&lt;&gt;"",$Y85=1),SUMPRODUCT(($A$8:$A85&lt;&gt;"")*($S$8:$S85&lt;&gt;"")*($Y$8:$Y85=1)),"")</f>
        <v/>
      </c>
      <c r="AA85" s="25">
        <f>IF(AND($A85&lt;&gt;"",$T85&lt;&gt;"",$Y85=1),SUMPRODUCT(($A$8:$A85&lt;&gt;"")*($T$8:$T85&lt;&gt;"")*($Y$8:$Y85=1)),"")</f>
        <v/>
      </c>
    </row>
    <row r="86">
      <c r="A86" s="13" t="n"/>
      <c r="B86" s="13" t="n"/>
      <c r="C86" s="26" t="n"/>
      <c r="D86" s="26" t="n"/>
      <c r="E86" s="26" t="n"/>
      <c r="F86" s="13" t="n"/>
      <c r="G86" s="13" t="n"/>
      <c r="H86" s="13" t="n"/>
      <c r="I86" s="13" t="n"/>
      <c r="J86" s="23">
        <f>IF($A86="","",IFERROR(INDEX('Ref_Crosswalk'!$F$2:$F$500,MATCH($A86,'Ref_Crosswalk'!$A$2:$A$500,0)),"UNKNOWN"))</f>
        <v/>
      </c>
      <c r="K86" s="24">
        <f>IF($A86="","",IFERROR(INDEX('Ref_Tolerance'!$B$2:$B$9,MATCH($J86,'Ref_Tolerance'!$A$2:$A$9,0)),""))</f>
        <v/>
      </c>
      <c r="L86" s="23">
        <f>IF($A86="","",IFERROR(INDEX('Ref_Tolerance'!$D$2:$D$9,MATCH($J86,'Ref_Tolerance'!$A$2:$A$9,0)),""))</f>
        <v/>
      </c>
      <c r="M86" s="24">
        <f>IF($A86="","",IFERROR(ABS(N($D86))/N($C86),0))</f>
        <v/>
      </c>
      <c r="N86" s="24">
        <f>IF($A86="","",IFERROR(N($E86)/N($C86),0))</f>
        <v/>
      </c>
      <c r="O86" s="23">
        <f>IF($A86="",0,IFERROR(SUMPRODUCT(($A$8:$A$307=$A86)*($P$8:$P$307="FAIL")*($U$8:$U$307&gt;$V86)*($U$8:$U$307&lt;=$U86)),0))</f>
        <v/>
      </c>
      <c r="P86" s="23">
        <f>IF($A86="","",IFERROR(IF(NOT(ISNUMBER($K86)),"CHECK",IF($L86="MARGIN",IF($N86&lt;=$K86,"PASS","FAIL"),IF($M86&lt;=$K86,"PASS","FAIL"))),"CHECK"))</f>
        <v/>
      </c>
      <c r="Q86" s="23">
        <f>IF($A86="","",IFERROR(INDEX('Ref_Tolerance'!$E$2:$E$9,MATCH($J86,'Ref_Tolerance'!$A$2:$A$9,0)),""))</f>
        <v/>
      </c>
      <c r="R86" s="23">
        <f>IF($A86="","",IFERROR(IF($O86=0,"CLEAR",IF($O86=1,"MFR DUE - MANAGER",IF($O86=2,"MFR DUE - FSS/CC SIGNATURE REQUIRED","INVESTIGATION + REPORT OF SURVEY; MSG/CC NOTIFIED"))),""))</f>
        <v/>
      </c>
      <c r="S86" s="23">
        <f>IF($A86="","",IF($O86=2,"WATCH - ONE MORE MISS TRIGGERS INVESTIGATION",""))</f>
        <v/>
      </c>
      <c r="T86" s="23">
        <f>IF($A86="","",IFERROR(IF(AND($O86&gt;=1,$F86&lt;&gt;"Y"),"MFR NOT SUBMITTED",IF(AND($O86&gt;=2,$G86&lt;&gt;"Y"),"FSS/CC SIGNATURE MISSING",IF(AND($O86&gt;=3,$H86&lt;&gt;"Y"),"INVESTIGATION NOT OPENED",""))),""))</f>
        <v/>
      </c>
      <c r="U86" s="25">
        <f>IF($A86="",0,IFERROR(MATCH($B86,'Ref_Calendar'!$A$2:$A$500,0),0))</f>
        <v/>
      </c>
      <c r="V86" s="25">
        <f>IF($A86="",0,IFERROR(SUMPRODUCT(MAX(($A$8:$A$307=$A86)*($P$8:$P$307="PASS")*($U$8:$U$307&lt;=$U86)*$U$8:$U$307)),0))</f>
        <v/>
      </c>
      <c r="W86" s="25">
        <f>IF($A86="","",IFERROR(INDEX('Ref_Crosswalk'!$E$2:$E$500,MATCH($A86,'Ref_Crosswalk'!$A$2:$A$500,0)),""))</f>
        <v/>
      </c>
      <c r="X86" s="25">
        <f>IF($A86="","",IFERROR(INDEX('Ref_Crosswalk'!$C$2:$C$500,MATCH($A86,'Ref_Crosswalk'!$A$2:$A$500,0)),""))</f>
        <v/>
      </c>
      <c r="Y86" s="25">
        <f>IF($A86="",0,IF(AND(OR('Out_Dashboard'!$C$5="",$W86='Out_Dashboard'!$C$5),OR('Out_Dashboard'!$C$6="",$X86='Out_Dashboard'!$C$6),OR('Out_Dashboard'!$C$7="",$B86='Out_Dashboard'!$C$7)),1,0))</f>
        <v/>
      </c>
      <c r="Z86" s="25">
        <f>IF(AND($A86&lt;&gt;"",$S86&lt;&gt;"",$Y86=1),SUMPRODUCT(($A$8:$A86&lt;&gt;"")*($S$8:$S86&lt;&gt;"")*($Y$8:$Y86=1)),"")</f>
        <v/>
      </c>
      <c r="AA86" s="25">
        <f>IF(AND($A86&lt;&gt;"",$T86&lt;&gt;"",$Y86=1),SUMPRODUCT(($A$8:$A86&lt;&gt;"")*($T$8:$T86&lt;&gt;"")*($Y$8:$Y86=1)),"")</f>
        <v/>
      </c>
    </row>
    <row r="87">
      <c r="A87" s="13" t="n"/>
      <c r="B87" s="13" t="n"/>
      <c r="C87" s="26" t="n"/>
      <c r="D87" s="26" t="n"/>
      <c r="E87" s="26" t="n"/>
      <c r="F87" s="13" t="n"/>
      <c r="G87" s="13" t="n"/>
      <c r="H87" s="13" t="n"/>
      <c r="I87" s="13" t="n"/>
      <c r="J87" s="23">
        <f>IF($A87="","",IFERROR(INDEX('Ref_Crosswalk'!$F$2:$F$500,MATCH($A87,'Ref_Crosswalk'!$A$2:$A$500,0)),"UNKNOWN"))</f>
        <v/>
      </c>
      <c r="K87" s="24">
        <f>IF($A87="","",IFERROR(INDEX('Ref_Tolerance'!$B$2:$B$9,MATCH($J87,'Ref_Tolerance'!$A$2:$A$9,0)),""))</f>
        <v/>
      </c>
      <c r="L87" s="23">
        <f>IF($A87="","",IFERROR(INDEX('Ref_Tolerance'!$D$2:$D$9,MATCH($J87,'Ref_Tolerance'!$A$2:$A$9,0)),""))</f>
        <v/>
      </c>
      <c r="M87" s="24">
        <f>IF($A87="","",IFERROR(ABS(N($D87))/N($C87),0))</f>
        <v/>
      </c>
      <c r="N87" s="24">
        <f>IF($A87="","",IFERROR(N($E87)/N($C87),0))</f>
        <v/>
      </c>
      <c r="O87" s="23">
        <f>IF($A87="",0,IFERROR(SUMPRODUCT(($A$8:$A$307=$A87)*($P$8:$P$307="FAIL")*($U$8:$U$307&gt;$V87)*($U$8:$U$307&lt;=$U87)),0))</f>
        <v/>
      </c>
      <c r="P87" s="23">
        <f>IF($A87="","",IFERROR(IF(NOT(ISNUMBER($K87)),"CHECK",IF($L87="MARGIN",IF($N87&lt;=$K87,"PASS","FAIL"),IF($M87&lt;=$K87,"PASS","FAIL"))),"CHECK"))</f>
        <v/>
      </c>
      <c r="Q87" s="23">
        <f>IF($A87="","",IFERROR(INDEX('Ref_Tolerance'!$E$2:$E$9,MATCH($J87,'Ref_Tolerance'!$A$2:$A$9,0)),""))</f>
        <v/>
      </c>
      <c r="R87" s="23">
        <f>IF($A87="","",IFERROR(IF($O87=0,"CLEAR",IF($O87=1,"MFR DUE - MANAGER",IF($O87=2,"MFR DUE - FSS/CC SIGNATURE REQUIRED","INVESTIGATION + REPORT OF SURVEY; MSG/CC NOTIFIED"))),""))</f>
        <v/>
      </c>
      <c r="S87" s="23">
        <f>IF($A87="","",IF($O87=2,"WATCH - ONE MORE MISS TRIGGERS INVESTIGATION",""))</f>
        <v/>
      </c>
      <c r="T87" s="23">
        <f>IF($A87="","",IFERROR(IF(AND($O87&gt;=1,$F87&lt;&gt;"Y"),"MFR NOT SUBMITTED",IF(AND($O87&gt;=2,$G87&lt;&gt;"Y"),"FSS/CC SIGNATURE MISSING",IF(AND($O87&gt;=3,$H87&lt;&gt;"Y"),"INVESTIGATION NOT OPENED",""))),""))</f>
        <v/>
      </c>
      <c r="U87" s="25">
        <f>IF($A87="",0,IFERROR(MATCH($B87,'Ref_Calendar'!$A$2:$A$500,0),0))</f>
        <v/>
      </c>
      <c r="V87" s="25">
        <f>IF($A87="",0,IFERROR(SUMPRODUCT(MAX(($A$8:$A$307=$A87)*($P$8:$P$307="PASS")*($U$8:$U$307&lt;=$U87)*$U$8:$U$307)),0))</f>
        <v/>
      </c>
      <c r="W87" s="25">
        <f>IF($A87="","",IFERROR(INDEX('Ref_Crosswalk'!$E$2:$E$500,MATCH($A87,'Ref_Crosswalk'!$A$2:$A$500,0)),""))</f>
        <v/>
      </c>
      <c r="X87" s="25">
        <f>IF($A87="","",IFERROR(INDEX('Ref_Crosswalk'!$C$2:$C$500,MATCH($A87,'Ref_Crosswalk'!$A$2:$A$500,0)),""))</f>
        <v/>
      </c>
      <c r="Y87" s="25">
        <f>IF($A87="",0,IF(AND(OR('Out_Dashboard'!$C$5="",$W87='Out_Dashboard'!$C$5),OR('Out_Dashboard'!$C$6="",$X87='Out_Dashboard'!$C$6),OR('Out_Dashboard'!$C$7="",$B87='Out_Dashboard'!$C$7)),1,0))</f>
        <v/>
      </c>
      <c r="Z87" s="25">
        <f>IF(AND($A87&lt;&gt;"",$S87&lt;&gt;"",$Y87=1),SUMPRODUCT(($A$8:$A87&lt;&gt;"")*($S$8:$S87&lt;&gt;"")*($Y$8:$Y87=1)),"")</f>
        <v/>
      </c>
      <c r="AA87" s="25">
        <f>IF(AND($A87&lt;&gt;"",$T87&lt;&gt;"",$Y87=1),SUMPRODUCT(($A$8:$A87&lt;&gt;"")*($T$8:$T87&lt;&gt;"")*($Y$8:$Y87=1)),"")</f>
        <v/>
      </c>
    </row>
    <row r="88">
      <c r="A88" s="13" t="n"/>
      <c r="B88" s="13" t="n"/>
      <c r="C88" s="26" t="n"/>
      <c r="D88" s="26" t="n"/>
      <c r="E88" s="26" t="n"/>
      <c r="F88" s="13" t="n"/>
      <c r="G88" s="13" t="n"/>
      <c r="H88" s="13" t="n"/>
      <c r="I88" s="13" t="n"/>
      <c r="J88" s="23">
        <f>IF($A88="","",IFERROR(INDEX('Ref_Crosswalk'!$F$2:$F$500,MATCH($A88,'Ref_Crosswalk'!$A$2:$A$500,0)),"UNKNOWN"))</f>
        <v/>
      </c>
      <c r="K88" s="24">
        <f>IF($A88="","",IFERROR(INDEX('Ref_Tolerance'!$B$2:$B$9,MATCH($J88,'Ref_Tolerance'!$A$2:$A$9,0)),""))</f>
        <v/>
      </c>
      <c r="L88" s="23">
        <f>IF($A88="","",IFERROR(INDEX('Ref_Tolerance'!$D$2:$D$9,MATCH($J88,'Ref_Tolerance'!$A$2:$A$9,0)),""))</f>
        <v/>
      </c>
      <c r="M88" s="24">
        <f>IF($A88="","",IFERROR(ABS(N($D88))/N($C88),0))</f>
        <v/>
      </c>
      <c r="N88" s="24">
        <f>IF($A88="","",IFERROR(N($E88)/N($C88),0))</f>
        <v/>
      </c>
      <c r="O88" s="23">
        <f>IF($A88="",0,IFERROR(SUMPRODUCT(($A$8:$A$307=$A88)*($P$8:$P$307="FAIL")*($U$8:$U$307&gt;$V88)*($U$8:$U$307&lt;=$U88)),0))</f>
        <v/>
      </c>
      <c r="P88" s="23">
        <f>IF($A88="","",IFERROR(IF(NOT(ISNUMBER($K88)),"CHECK",IF($L88="MARGIN",IF($N88&lt;=$K88,"PASS","FAIL"),IF($M88&lt;=$K88,"PASS","FAIL"))),"CHECK"))</f>
        <v/>
      </c>
      <c r="Q88" s="23">
        <f>IF($A88="","",IFERROR(INDEX('Ref_Tolerance'!$E$2:$E$9,MATCH($J88,'Ref_Tolerance'!$A$2:$A$9,0)),""))</f>
        <v/>
      </c>
      <c r="R88" s="23">
        <f>IF($A88="","",IFERROR(IF($O88=0,"CLEAR",IF($O88=1,"MFR DUE - MANAGER",IF($O88=2,"MFR DUE - FSS/CC SIGNATURE REQUIRED","INVESTIGATION + REPORT OF SURVEY; MSG/CC NOTIFIED"))),""))</f>
        <v/>
      </c>
      <c r="S88" s="23">
        <f>IF($A88="","",IF($O88=2,"WATCH - ONE MORE MISS TRIGGERS INVESTIGATION",""))</f>
        <v/>
      </c>
      <c r="T88" s="23">
        <f>IF($A88="","",IFERROR(IF(AND($O88&gt;=1,$F88&lt;&gt;"Y"),"MFR NOT SUBMITTED",IF(AND($O88&gt;=2,$G88&lt;&gt;"Y"),"FSS/CC SIGNATURE MISSING",IF(AND($O88&gt;=3,$H88&lt;&gt;"Y"),"INVESTIGATION NOT OPENED",""))),""))</f>
        <v/>
      </c>
      <c r="U88" s="25">
        <f>IF($A88="",0,IFERROR(MATCH($B88,'Ref_Calendar'!$A$2:$A$500,0),0))</f>
        <v/>
      </c>
      <c r="V88" s="25">
        <f>IF($A88="",0,IFERROR(SUMPRODUCT(MAX(($A$8:$A$307=$A88)*($P$8:$P$307="PASS")*($U$8:$U$307&lt;=$U88)*$U$8:$U$307)),0))</f>
        <v/>
      </c>
      <c r="W88" s="25">
        <f>IF($A88="","",IFERROR(INDEX('Ref_Crosswalk'!$E$2:$E$500,MATCH($A88,'Ref_Crosswalk'!$A$2:$A$500,0)),""))</f>
        <v/>
      </c>
      <c r="X88" s="25">
        <f>IF($A88="","",IFERROR(INDEX('Ref_Crosswalk'!$C$2:$C$500,MATCH($A88,'Ref_Crosswalk'!$A$2:$A$500,0)),""))</f>
        <v/>
      </c>
      <c r="Y88" s="25">
        <f>IF($A88="",0,IF(AND(OR('Out_Dashboard'!$C$5="",$W88='Out_Dashboard'!$C$5),OR('Out_Dashboard'!$C$6="",$X88='Out_Dashboard'!$C$6),OR('Out_Dashboard'!$C$7="",$B88='Out_Dashboard'!$C$7)),1,0))</f>
        <v/>
      </c>
      <c r="Z88" s="25">
        <f>IF(AND($A88&lt;&gt;"",$S88&lt;&gt;"",$Y88=1),SUMPRODUCT(($A$8:$A88&lt;&gt;"")*($S$8:$S88&lt;&gt;"")*($Y$8:$Y88=1)),"")</f>
        <v/>
      </c>
      <c r="AA88" s="25">
        <f>IF(AND($A88&lt;&gt;"",$T88&lt;&gt;"",$Y88=1),SUMPRODUCT(($A$8:$A88&lt;&gt;"")*($T$8:$T88&lt;&gt;"")*($Y$8:$Y88=1)),"")</f>
        <v/>
      </c>
    </row>
    <row r="89">
      <c r="A89" s="13" t="n"/>
      <c r="B89" s="13" t="n"/>
      <c r="C89" s="26" t="n"/>
      <c r="D89" s="26" t="n"/>
      <c r="E89" s="26" t="n"/>
      <c r="F89" s="13" t="n"/>
      <c r="G89" s="13" t="n"/>
      <c r="H89" s="13" t="n"/>
      <c r="I89" s="13" t="n"/>
      <c r="J89" s="23">
        <f>IF($A89="","",IFERROR(INDEX('Ref_Crosswalk'!$F$2:$F$500,MATCH($A89,'Ref_Crosswalk'!$A$2:$A$500,0)),"UNKNOWN"))</f>
        <v/>
      </c>
      <c r="K89" s="24">
        <f>IF($A89="","",IFERROR(INDEX('Ref_Tolerance'!$B$2:$B$9,MATCH($J89,'Ref_Tolerance'!$A$2:$A$9,0)),""))</f>
        <v/>
      </c>
      <c r="L89" s="23">
        <f>IF($A89="","",IFERROR(INDEX('Ref_Tolerance'!$D$2:$D$9,MATCH($J89,'Ref_Tolerance'!$A$2:$A$9,0)),""))</f>
        <v/>
      </c>
      <c r="M89" s="24">
        <f>IF($A89="","",IFERROR(ABS(N($D89))/N($C89),0))</f>
        <v/>
      </c>
      <c r="N89" s="24">
        <f>IF($A89="","",IFERROR(N($E89)/N($C89),0))</f>
        <v/>
      </c>
      <c r="O89" s="23">
        <f>IF($A89="",0,IFERROR(SUMPRODUCT(($A$8:$A$307=$A89)*($P$8:$P$307="FAIL")*($U$8:$U$307&gt;$V89)*($U$8:$U$307&lt;=$U89)),0))</f>
        <v/>
      </c>
      <c r="P89" s="23">
        <f>IF($A89="","",IFERROR(IF(NOT(ISNUMBER($K89)),"CHECK",IF($L89="MARGIN",IF($N89&lt;=$K89,"PASS","FAIL"),IF($M89&lt;=$K89,"PASS","FAIL"))),"CHECK"))</f>
        <v/>
      </c>
      <c r="Q89" s="23">
        <f>IF($A89="","",IFERROR(INDEX('Ref_Tolerance'!$E$2:$E$9,MATCH($J89,'Ref_Tolerance'!$A$2:$A$9,0)),""))</f>
        <v/>
      </c>
      <c r="R89" s="23">
        <f>IF($A89="","",IFERROR(IF($O89=0,"CLEAR",IF($O89=1,"MFR DUE - MANAGER",IF($O89=2,"MFR DUE - FSS/CC SIGNATURE REQUIRED","INVESTIGATION + REPORT OF SURVEY; MSG/CC NOTIFIED"))),""))</f>
        <v/>
      </c>
      <c r="S89" s="23">
        <f>IF($A89="","",IF($O89=2,"WATCH - ONE MORE MISS TRIGGERS INVESTIGATION",""))</f>
        <v/>
      </c>
      <c r="T89" s="23">
        <f>IF($A89="","",IFERROR(IF(AND($O89&gt;=1,$F89&lt;&gt;"Y"),"MFR NOT SUBMITTED",IF(AND($O89&gt;=2,$G89&lt;&gt;"Y"),"FSS/CC SIGNATURE MISSING",IF(AND($O89&gt;=3,$H89&lt;&gt;"Y"),"INVESTIGATION NOT OPENED",""))),""))</f>
        <v/>
      </c>
      <c r="U89" s="25">
        <f>IF($A89="",0,IFERROR(MATCH($B89,'Ref_Calendar'!$A$2:$A$500,0),0))</f>
        <v/>
      </c>
      <c r="V89" s="25">
        <f>IF($A89="",0,IFERROR(SUMPRODUCT(MAX(($A$8:$A$307=$A89)*($P$8:$P$307="PASS")*($U$8:$U$307&lt;=$U89)*$U$8:$U$307)),0))</f>
        <v/>
      </c>
      <c r="W89" s="25">
        <f>IF($A89="","",IFERROR(INDEX('Ref_Crosswalk'!$E$2:$E$500,MATCH($A89,'Ref_Crosswalk'!$A$2:$A$500,0)),""))</f>
        <v/>
      </c>
      <c r="X89" s="25">
        <f>IF($A89="","",IFERROR(INDEX('Ref_Crosswalk'!$C$2:$C$500,MATCH($A89,'Ref_Crosswalk'!$A$2:$A$500,0)),""))</f>
        <v/>
      </c>
      <c r="Y89" s="25">
        <f>IF($A89="",0,IF(AND(OR('Out_Dashboard'!$C$5="",$W89='Out_Dashboard'!$C$5),OR('Out_Dashboard'!$C$6="",$X89='Out_Dashboard'!$C$6),OR('Out_Dashboard'!$C$7="",$B89='Out_Dashboard'!$C$7)),1,0))</f>
        <v/>
      </c>
      <c r="Z89" s="25">
        <f>IF(AND($A89&lt;&gt;"",$S89&lt;&gt;"",$Y89=1),SUMPRODUCT(($A$8:$A89&lt;&gt;"")*($S$8:$S89&lt;&gt;"")*($Y$8:$Y89=1)),"")</f>
        <v/>
      </c>
      <c r="AA89" s="25">
        <f>IF(AND($A89&lt;&gt;"",$T89&lt;&gt;"",$Y89=1),SUMPRODUCT(($A$8:$A89&lt;&gt;"")*($T$8:$T89&lt;&gt;"")*($Y$8:$Y89=1)),"")</f>
        <v/>
      </c>
    </row>
    <row r="90">
      <c r="A90" s="13" t="n"/>
      <c r="B90" s="13" t="n"/>
      <c r="C90" s="26" t="n"/>
      <c r="D90" s="26" t="n"/>
      <c r="E90" s="26" t="n"/>
      <c r="F90" s="13" t="n"/>
      <c r="G90" s="13" t="n"/>
      <c r="H90" s="13" t="n"/>
      <c r="I90" s="13" t="n"/>
      <c r="J90" s="23">
        <f>IF($A90="","",IFERROR(INDEX('Ref_Crosswalk'!$F$2:$F$500,MATCH($A90,'Ref_Crosswalk'!$A$2:$A$500,0)),"UNKNOWN"))</f>
        <v/>
      </c>
      <c r="K90" s="24">
        <f>IF($A90="","",IFERROR(INDEX('Ref_Tolerance'!$B$2:$B$9,MATCH($J90,'Ref_Tolerance'!$A$2:$A$9,0)),""))</f>
        <v/>
      </c>
      <c r="L90" s="23">
        <f>IF($A90="","",IFERROR(INDEX('Ref_Tolerance'!$D$2:$D$9,MATCH($J90,'Ref_Tolerance'!$A$2:$A$9,0)),""))</f>
        <v/>
      </c>
      <c r="M90" s="24">
        <f>IF($A90="","",IFERROR(ABS(N($D90))/N($C90),0))</f>
        <v/>
      </c>
      <c r="N90" s="24">
        <f>IF($A90="","",IFERROR(N($E90)/N($C90),0))</f>
        <v/>
      </c>
      <c r="O90" s="23">
        <f>IF($A90="",0,IFERROR(SUMPRODUCT(($A$8:$A$307=$A90)*($P$8:$P$307="FAIL")*($U$8:$U$307&gt;$V90)*($U$8:$U$307&lt;=$U90)),0))</f>
        <v/>
      </c>
      <c r="P90" s="23">
        <f>IF($A90="","",IFERROR(IF(NOT(ISNUMBER($K90)),"CHECK",IF($L90="MARGIN",IF($N90&lt;=$K90,"PASS","FAIL"),IF($M90&lt;=$K90,"PASS","FAIL"))),"CHECK"))</f>
        <v/>
      </c>
      <c r="Q90" s="23">
        <f>IF($A90="","",IFERROR(INDEX('Ref_Tolerance'!$E$2:$E$9,MATCH($J90,'Ref_Tolerance'!$A$2:$A$9,0)),""))</f>
        <v/>
      </c>
      <c r="R90" s="23">
        <f>IF($A90="","",IFERROR(IF($O90=0,"CLEAR",IF($O90=1,"MFR DUE - MANAGER",IF($O90=2,"MFR DUE - FSS/CC SIGNATURE REQUIRED","INVESTIGATION + REPORT OF SURVEY; MSG/CC NOTIFIED"))),""))</f>
        <v/>
      </c>
      <c r="S90" s="23">
        <f>IF($A90="","",IF($O90=2,"WATCH - ONE MORE MISS TRIGGERS INVESTIGATION",""))</f>
        <v/>
      </c>
      <c r="T90" s="23">
        <f>IF($A90="","",IFERROR(IF(AND($O90&gt;=1,$F90&lt;&gt;"Y"),"MFR NOT SUBMITTED",IF(AND($O90&gt;=2,$G90&lt;&gt;"Y"),"FSS/CC SIGNATURE MISSING",IF(AND($O90&gt;=3,$H90&lt;&gt;"Y"),"INVESTIGATION NOT OPENED",""))),""))</f>
        <v/>
      </c>
      <c r="U90" s="25">
        <f>IF($A90="",0,IFERROR(MATCH($B90,'Ref_Calendar'!$A$2:$A$500,0),0))</f>
        <v/>
      </c>
      <c r="V90" s="25">
        <f>IF($A90="",0,IFERROR(SUMPRODUCT(MAX(($A$8:$A$307=$A90)*($P$8:$P$307="PASS")*($U$8:$U$307&lt;=$U90)*$U$8:$U$307)),0))</f>
        <v/>
      </c>
      <c r="W90" s="25">
        <f>IF($A90="","",IFERROR(INDEX('Ref_Crosswalk'!$E$2:$E$500,MATCH($A90,'Ref_Crosswalk'!$A$2:$A$500,0)),""))</f>
        <v/>
      </c>
      <c r="X90" s="25">
        <f>IF($A90="","",IFERROR(INDEX('Ref_Crosswalk'!$C$2:$C$500,MATCH($A90,'Ref_Crosswalk'!$A$2:$A$500,0)),""))</f>
        <v/>
      </c>
      <c r="Y90" s="25">
        <f>IF($A90="",0,IF(AND(OR('Out_Dashboard'!$C$5="",$W90='Out_Dashboard'!$C$5),OR('Out_Dashboard'!$C$6="",$X90='Out_Dashboard'!$C$6),OR('Out_Dashboard'!$C$7="",$B90='Out_Dashboard'!$C$7)),1,0))</f>
        <v/>
      </c>
      <c r="Z90" s="25">
        <f>IF(AND($A90&lt;&gt;"",$S90&lt;&gt;"",$Y90=1),SUMPRODUCT(($A$8:$A90&lt;&gt;"")*($S$8:$S90&lt;&gt;"")*($Y$8:$Y90=1)),"")</f>
        <v/>
      </c>
      <c r="AA90" s="25">
        <f>IF(AND($A90&lt;&gt;"",$T90&lt;&gt;"",$Y90=1),SUMPRODUCT(($A$8:$A90&lt;&gt;"")*($T$8:$T90&lt;&gt;"")*($Y$8:$Y90=1)),"")</f>
        <v/>
      </c>
    </row>
    <row r="91">
      <c r="A91" s="13" t="n"/>
      <c r="B91" s="13" t="n"/>
      <c r="C91" s="26" t="n"/>
      <c r="D91" s="26" t="n"/>
      <c r="E91" s="26" t="n"/>
      <c r="F91" s="13" t="n"/>
      <c r="G91" s="13" t="n"/>
      <c r="H91" s="13" t="n"/>
      <c r="I91" s="13" t="n"/>
      <c r="J91" s="23">
        <f>IF($A91="","",IFERROR(INDEX('Ref_Crosswalk'!$F$2:$F$500,MATCH($A91,'Ref_Crosswalk'!$A$2:$A$500,0)),"UNKNOWN"))</f>
        <v/>
      </c>
      <c r="K91" s="24">
        <f>IF($A91="","",IFERROR(INDEX('Ref_Tolerance'!$B$2:$B$9,MATCH($J91,'Ref_Tolerance'!$A$2:$A$9,0)),""))</f>
        <v/>
      </c>
      <c r="L91" s="23">
        <f>IF($A91="","",IFERROR(INDEX('Ref_Tolerance'!$D$2:$D$9,MATCH($J91,'Ref_Tolerance'!$A$2:$A$9,0)),""))</f>
        <v/>
      </c>
      <c r="M91" s="24">
        <f>IF($A91="","",IFERROR(ABS(N($D91))/N($C91),0))</f>
        <v/>
      </c>
      <c r="N91" s="24">
        <f>IF($A91="","",IFERROR(N($E91)/N($C91),0))</f>
        <v/>
      </c>
      <c r="O91" s="23">
        <f>IF($A91="",0,IFERROR(SUMPRODUCT(($A$8:$A$307=$A91)*($P$8:$P$307="FAIL")*($U$8:$U$307&gt;$V91)*($U$8:$U$307&lt;=$U91)),0))</f>
        <v/>
      </c>
      <c r="P91" s="23">
        <f>IF($A91="","",IFERROR(IF(NOT(ISNUMBER($K91)),"CHECK",IF($L91="MARGIN",IF($N91&lt;=$K91,"PASS","FAIL"),IF($M91&lt;=$K91,"PASS","FAIL"))),"CHECK"))</f>
        <v/>
      </c>
      <c r="Q91" s="23">
        <f>IF($A91="","",IFERROR(INDEX('Ref_Tolerance'!$E$2:$E$9,MATCH($J91,'Ref_Tolerance'!$A$2:$A$9,0)),""))</f>
        <v/>
      </c>
      <c r="R91" s="23">
        <f>IF($A91="","",IFERROR(IF($O91=0,"CLEAR",IF($O91=1,"MFR DUE - MANAGER",IF($O91=2,"MFR DUE - FSS/CC SIGNATURE REQUIRED","INVESTIGATION + REPORT OF SURVEY; MSG/CC NOTIFIED"))),""))</f>
        <v/>
      </c>
      <c r="S91" s="23">
        <f>IF($A91="","",IF($O91=2,"WATCH - ONE MORE MISS TRIGGERS INVESTIGATION",""))</f>
        <v/>
      </c>
      <c r="T91" s="23">
        <f>IF($A91="","",IFERROR(IF(AND($O91&gt;=1,$F91&lt;&gt;"Y"),"MFR NOT SUBMITTED",IF(AND($O91&gt;=2,$G91&lt;&gt;"Y"),"FSS/CC SIGNATURE MISSING",IF(AND($O91&gt;=3,$H91&lt;&gt;"Y"),"INVESTIGATION NOT OPENED",""))),""))</f>
        <v/>
      </c>
      <c r="U91" s="25">
        <f>IF($A91="",0,IFERROR(MATCH($B91,'Ref_Calendar'!$A$2:$A$500,0),0))</f>
        <v/>
      </c>
      <c r="V91" s="25">
        <f>IF($A91="",0,IFERROR(SUMPRODUCT(MAX(($A$8:$A$307=$A91)*($P$8:$P$307="PASS")*($U$8:$U$307&lt;=$U91)*$U$8:$U$307)),0))</f>
        <v/>
      </c>
      <c r="W91" s="25">
        <f>IF($A91="","",IFERROR(INDEX('Ref_Crosswalk'!$E$2:$E$500,MATCH($A91,'Ref_Crosswalk'!$A$2:$A$500,0)),""))</f>
        <v/>
      </c>
      <c r="X91" s="25">
        <f>IF($A91="","",IFERROR(INDEX('Ref_Crosswalk'!$C$2:$C$500,MATCH($A91,'Ref_Crosswalk'!$A$2:$A$500,0)),""))</f>
        <v/>
      </c>
      <c r="Y91" s="25">
        <f>IF($A91="",0,IF(AND(OR('Out_Dashboard'!$C$5="",$W91='Out_Dashboard'!$C$5),OR('Out_Dashboard'!$C$6="",$X91='Out_Dashboard'!$C$6),OR('Out_Dashboard'!$C$7="",$B91='Out_Dashboard'!$C$7)),1,0))</f>
        <v/>
      </c>
      <c r="Z91" s="25">
        <f>IF(AND($A91&lt;&gt;"",$S91&lt;&gt;"",$Y91=1),SUMPRODUCT(($A$8:$A91&lt;&gt;"")*($S$8:$S91&lt;&gt;"")*($Y$8:$Y91=1)),"")</f>
        <v/>
      </c>
      <c r="AA91" s="25">
        <f>IF(AND($A91&lt;&gt;"",$T91&lt;&gt;"",$Y91=1),SUMPRODUCT(($A$8:$A91&lt;&gt;"")*($T$8:$T91&lt;&gt;"")*($Y$8:$Y91=1)),"")</f>
        <v/>
      </c>
    </row>
    <row r="92">
      <c r="A92" s="13" t="n"/>
      <c r="B92" s="13" t="n"/>
      <c r="C92" s="26" t="n"/>
      <c r="D92" s="26" t="n"/>
      <c r="E92" s="26" t="n"/>
      <c r="F92" s="13" t="n"/>
      <c r="G92" s="13" t="n"/>
      <c r="H92" s="13" t="n"/>
      <c r="I92" s="13" t="n"/>
      <c r="J92" s="23">
        <f>IF($A92="","",IFERROR(INDEX('Ref_Crosswalk'!$F$2:$F$500,MATCH($A92,'Ref_Crosswalk'!$A$2:$A$500,0)),"UNKNOWN"))</f>
        <v/>
      </c>
      <c r="K92" s="24">
        <f>IF($A92="","",IFERROR(INDEX('Ref_Tolerance'!$B$2:$B$9,MATCH($J92,'Ref_Tolerance'!$A$2:$A$9,0)),""))</f>
        <v/>
      </c>
      <c r="L92" s="23">
        <f>IF($A92="","",IFERROR(INDEX('Ref_Tolerance'!$D$2:$D$9,MATCH($J92,'Ref_Tolerance'!$A$2:$A$9,0)),""))</f>
        <v/>
      </c>
      <c r="M92" s="24">
        <f>IF($A92="","",IFERROR(ABS(N($D92))/N($C92),0))</f>
        <v/>
      </c>
      <c r="N92" s="24">
        <f>IF($A92="","",IFERROR(N($E92)/N($C92),0))</f>
        <v/>
      </c>
      <c r="O92" s="23">
        <f>IF($A92="",0,IFERROR(SUMPRODUCT(($A$8:$A$307=$A92)*($P$8:$P$307="FAIL")*($U$8:$U$307&gt;$V92)*($U$8:$U$307&lt;=$U92)),0))</f>
        <v/>
      </c>
      <c r="P92" s="23">
        <f>IF($A92="","",IFERROR(IF(NOT(ISNUMBER($K92)),"CHECK",IF($L92="MARGIN",IF($N92&lt;=$K92,"PASS","FAIL"),IF($M92&lt;=$K92,"PASS","FAIL"))),"CHECK"))</f>
        <v/>
      </c>
      <c r="Q92" s="23">
        <f>IF($A92="","",IFERROR(INDEX('Ref_Tolerance'!$E$2:$E$9,MATCH($J92,'Ref_Tolerance'!$A$2:$A$9,0)),""))</f>
        <v/>
      </c>
      <c r="R92" s="23">
        <f>IF($A92="","",IFERROR(IF($O92=0,"CLEAR",IF($O92=1,"MFR DUE - MANAGER",IF($O92=2,"MFR DUE - FSS/CC SIGNATURE REQUIRED","INVESTIGATION + REPORT OF SURVEY; MSG/CC NOTIFIED"))),""))</f>
        <v/>
      </c>
      <c r="S92" s="23">
        <f>IF($A92="","",IF($O92=2,"WATCH - ONE MORE MISS TRIGGERS INVESTIGATION",""))</f>
        <v/>
      </c>
      <c r="T92" s="23">
        <f>IF($A92="","",IFERROR(IF(AND($O92&gt;=1,$F92&lt;&gt;"Y"),"MFR NOT SUBMITTED",IF(AND($O92&gt;=2,$G92&lt;&gt;"Y"),"FSS/CC SIGNATURE MISSING",IF(AND($O92&gt;=3,$H92&lt;&gt;"Y"),"INVESTIGATION NOT OPENED",""))),""))</f>
        <v/>
      </c>
      <c r="U92" s="25">
        <f>IF($A92="",0,IFERROR(MATCH($B92,'Ref_Calendar'!$A$2:$A$500,0),0))</f>
        <v/>
      </c>
      <c r="V92" s="25">
        <f>IF($A92="",0,IFERROR(SUMPRODUCT(MAX(($A$8:$A$307=$A92)*($P$8:$P$307="PASS")*($U$8:$U$307&lt;=$U92)*$U$8:$U$307)),0))</f>
        <v/>
      </c>
      <c r="W92" s="25">
        <f>IF($A92="","",IFERROR(INDEX('Ref_Crosswalk'!$E$2:$E$500,MATCH($A92,'Ref_Crosswalk'!$A$2:$A$500,0)),""))</f>
        <v/>
      </c>
      <c r="X92" s="25">
        <f>IF($A92="","",IFERROR(INDEX('Ref_Crosswalk'!$C$2:$C$500,MATCH($A92,'Ref_Crosswalk'!$A$2:$A$500,0)),""))</f>
        <v/>
      </c>
      <c r="Y92" s="25">
        <f>IF($A92="",0,IF(AND(OR('Out_Dashboard'!$C$5="",$W92='Out_Dashboard'!$C$5),OR('Out_Dashboard'!$C$6="",$X92='Out_Dashboard'!$C$6),OR('Out_Dashboard'!$C$7="",$B92='Out_Dashboard'!$C$7)),1,0))</f>
        <v/>
      </c>
      <c r="Z92" s="25">
        <f>IF(AND($A92&lt;&gt;"",$S92&lt;&gt;"",$Y92=1),SUMPRODUCT(($A$8:$A92&lt;&gt;"")*($S$8:$S92&lt;&gt;"")*($Y$8:$Y92=1)),"")</f>
        <v/>
      </c>
      <c r="AA92" s="25">
        <f>IF(AND($A92&lt;&gt;"",$T92&lt;&gt;"",$Y92=1),SUMPRODUCT(($A$8:$A92&lt;&gt;"")*($T$8:$T92&lt;&gt;"")*($Y$8:$Y92=1)),"")</f>
        <v/>
      </c>
    </row>
    <row r="93">
      <c r="A93" s="13" t="n"/>
      <c r="B93" s="13" t="n"/>
      <c r="C93" s="26" t="n"/>
      <c r="D93" s="26" t="n"/>
      <c r="E93" s="26" t="n"/>
      <c r="F93" s="13" t="n"/>
      <c r="G93" s="13" t="n"/>
      <c r="H93" s="13" t="n"/>
      <c r="I93" s="13" t="n"/>
      <c r="J93" s="23">
        <f>IF($A93="","",IFERROR(INDEX('Ref_Crosswalk'!$F$2:$F$500,MATCH($A93,'Ref_Crosswalk'!$A$2:$A$500,0)),"UNKNOWN"))</f>
        <v/>
      </c>
      <c r="K93" s="24">
        <f>IF($A93="","",IFERROR(INDEX('Ref_Tolerance'!$B$2:$B$9,MATCH($J93,'Ref_Tolerance'!$A$2:$A$9,0)),""))</f>
        <v/>
      </c>
      <c r="L93" s="23">
        <f>IF($A93="","",IFERROR(INDEX('Ref_Tolerance'!$D$2:$D$9,MATCH($J93,'Ref_Tolerance'!$A$2:$A$9,0)),""))</f>
        <v/>
      </c>
      <c r="M93" s="24">
        <f>IF($A93="","",IFERROR(ABS(N($D93))/N($C93),0))</f>
        <v/>
      </c>
      <c r="N93" s="24">
        <f>IF($A93="","",IFERROR(N($E93)/N($C93),0))</f>
        <v/>
      </c>
      <c r="O93" s="23">
        <f>IF($A93="",0,IFERROR(SUMPRODUCT(($A$8:$A$307=$A93)*($P$8:$P$307="FAIL")*($U$8:$U$307&gt;$V93)*($U$8:$U$307&lt;=$U93)),0))</f>
        <v/>
      </c>
      <c r="P93" s="23">
        <f>IF($A93="","",IFERROR(IF(NOT(ISNUMBER($K93)),"CHECK",IF($L93="MARGIN",IF($N93&lt;=$K93,"PASS","FAIL"),IF($M93&lt;=$K93,"PASS","FAIL"))),"CHECK"))</f>
        <v/>
      </c>
      <c r="Q93" s="23">
        <f>IF($A93="","",IFERROR(INDEX('Ref_Tolerance'!$E$2:$E$9,MATCH($J93,'Ref_Tolerance'!$A$2:$A$9,0)),""))</f>
        <v/>
      </c>
      <c r="R93" s="23">
        <f>IF($A93="","",IFERROR(IF($O93=0,"CLEAR",IF($O93=1,"MFR DUE - MANAGER",IF($O93=2,"MFR DUE - FSS/CC SIGNATURE REQUIRED","INVESTIGATION + REPORT OF SURVEY; MSG/CC NOTIFIED"))),""))</f>
        <v/>
      </c>
      <c r="S93" s="23">
        <f>IF($A93="","",IF($O93=2,"WATCH - ONE MORE MISS TRIGGERS INVESTIGATION",""))</f>
        <v/>
      </c>
      <c r="T93" s="23">
        <f>IF($A93="","",IFERROR(IF(AND($O93&gt;=1,$F93&lt;&gt;"Y"),"MFR NOT SUBMITTED",IF(AND($O93&gt;=2,$G93&lt;&gt;"Y"),"FSS/CC SIGNATURE MISSING",IF(AND($O93&gt;=3,$H93&lt;&gt;"Y"),"INVESTIGATION NOT OPENED",""))),""))</f>
        <v/>
      </c>
      <c r="U93" s="25">
        <f>IF($A93="",0,IFERROR(MATCH($B93,'Ref_Calendar'!$A$2:$A$500,0),0))</f>
        <v/>
      </c>
      <c r="V93" s="25">
        <f>IF($A93="",0,IFERROR(SUMPRODUCT(MAX(($A$8:$A$307=$A93)*($P$8:$P$307="PASS")*($U$8:$U$307&lt;=$U93)*$U$8:$U$307)),0))</f>
        <v/>
      </c>
      <c r="W93" s="25">
        <f>IF($A93="","",IFERROR(INDEX('Ref_Crosswalk'!$E$2:$E$500,MATCH($A93,'Ref_Crosswalk'!$A$2:$A$500,0)),""))</f>
        <v/>
      </c>
      <c r="X93" s="25">
        <f>IF($A93="","",IFERROR(INDEX('Ref_Crosswalk'!$C$2:$C$500,MATCH($A93,'Ref_Crosswalk'!$A$2:$A$500,0)),""))</f>
        <v/>
      </c>
      <c r="Y93" s="25">
        <f>IF($A93="",0,IF(AND(OR('Out_Dashboard'!$C$5="",$W93='Out_Dashboard'!$C$5),OR('Out_Dashboard'!$C$6="",$X93='Out_Dashboard'!$C$6),OR('Out_Dashboard'!$C$7="",$B93='Out_Dashboard'!$C$7)),1,0))</f>
        <v/>
      </c>
      <c r="Z93" s="25">
        <f>IF(AND($A93&lt;&gt;"",$S93&lt;&gt;"",$Y93=1),SUMPRODUCT(($A$8:$A93&lt;&gt;"")*($S$8:$S93&lt;&gt;"")*($Y$8:$Y93=1)),"")</f>
        <v/>
      </c>
      <c r="AA93" s="25">
        <f>IF(AND($A93&lt;&gt;"",$T93&lt;&gt;"",$Y93=1),SUMPRODUCT(($A$8:$A93&lt;&gt;"")*($T$8:$T93&lt;&gt;"")*($Y$8:$Y93=1)),"")</f>
        <v/>
      </c>
    </row>
    <row r="94">
      <c r="A94" s="13" t="n"/>
      <c r="B94" s="13" t="n"/>
      <c r="C94" s="26" t="n"/>
      <c r="D94" s="26" t="n"/>
      <c r="E94" s="26" t="n"/>
      <c r="F94" s="13" t="n"/>
      <c r="G94" s="13" t="n"/>
      <c r="H94" s="13" t="n"/>
      <c r="I94" s="13" t="n"/>
      <c r="J94" s="23">
        <f>IF($A94="","",IFERROR(INDEX('Ref_Crosswalk'!$F$2:$F$500,MATCH($A94,'Ref_Crosswalk'!$A$2:$A$500,0)),"UNKNOWN"))</f>
        <v/>
      </c>
      <c r="K94" s="24">
        <f>IF($A94="","",IFERROR(INDEX('Ref_Tolerance'!$B$2:$B$9,MATCH($J94,'Ref_Tolerance'!$A$2:$A$9,0)),""))</f>
        <v/>
      </c>
      <c r="L94" s="23">
        <f>IF($A94="","",IFERROR(INDEX('Ref_Tolerance'!$D$2:$D$9,MATCH($J94,'Ref_Tolerance'!$A$2:$A$9,0)),""))</f>
        <v/>
      </c>
      <c r="M94" s="24">
        <f>IF($A94="","",IFERROR(ABS(N($D94))/N($C94),0))</f>
        <v/>
      </c>
      <c r="N94" s="24">
        <f>IF($A94="","",IFERROR(N($E94)/N($C94),0))</f>
        <v/>
      </c>
      <c r="O94" s="23">
        <f>IF($A94="",0,IFERROR(SUMPRODUCT(($A$8:$A$307=$A94)*($P$8:$P$307="FAIL")*($U$8:$U$307&gt;$V94)*($U$8:$U$307&lt;=$U94)),0))</f>
        <v/>
      </c>
      <c r="P94" s="23">
        <f>IF($A94="","",IFERROR(IF(NOT(ISNUMBER($K94)),"CHECK",IF($L94="MARGIN",IF($N94&lt;=$K94,"PASS","FAIL"),IF($M94&lt;=$K94,"PASS","FAIL"))),"CHECK"))</f>
        <v/>
      </c>
      <c r="Q94" s="23">
        <f>IF($A94="","",IFERROR(INDEX('Ref_Tolerance'!$E$2:$E$9,MATCH($J94,'Ref_Tolerance'!$A$2:$A$9,0)),""))</f>
        <v/>
      </c>
      <c r="R94" s="23">
        <f>IF($A94="","",IFERROR(IF($O94=0,"CLEAR",IF($O94=1,"MFR DUE - MANAGER",IF($O94=2,"MFR DUE - FSS/CC SIGNATURE REQUIRED","INVESTIGATION + REPORT OF SURVEY; MSG/CC NOTIFIED"))),""))</f>
        <v/>
      </c>
      <c r="S94" s="23">
        <f>IF($A94="","",IF($O94=2,"WATCH - ONE MORE MISS TRIGGERS INVESTIGATION",""))</f>
        <v/>
      </c>
      <c r="T94" s="23">
        <f>IF($A94="","",IFERROR(IF(AND($O94&gt;=1,$F94&lt;&gt;"Y"),"MFR NOT SUBMITTED",IF(AND($O94&gt;=2,$G94&lt;&gt;"Y"),"FSS/CC SIGNATURE MISSING",IF(AND($O94&gt;=3,$H94&lt;&gt;"Y"),"INVESTIGATION NOT OPENED",""))),""))</f>
        <v/>
      </c>
      <c r="U94" s="25">
        <f>IF($A94="",0,IFERROR(MATCH($B94,'Ref_Calendar'!$A$2:$A$500,0),0))</f>
        <v/>
      </c>
      <c r="V94" s="25">
        <f>IF($A94="",0,IFERROR(SUMPRODUCT(MAX(($A$8:$A$307=$A94)*($P$8:$P$307="PASS")*($U$8:$U$307&lt;=$U94)*$U$8:$U$307)),0))</f>
        <v/>
      </c>
      <c r="W94" s="25">
        <f>IF($A94="","",IFERROR(INDEX('Ref_Crosswalk'!$E$2:$E$500,MATCH($A94,'Ref_Crosswalk'!$A$2:$A$500,0)),""))</f>
        <v/>
      </c>
      <c r="X94" s="25">
        <f>IF($A94="","",IFERROR(INDEX('Ref_Crosswalk'!$C$2:$C$500,MATCH($A94,'Ref_Crosswalk'!$A$2:$A$500,0)),""))</f>
        <v/>
      </c>
      <c r="Y94" s="25">
        <f>IF($A94="",0,IF(AND(OR('Out_Dashboard'!$C$5="",$W94='Out_Dashboard'!$C$5),OR('Out_Dashboard'!$C$6="",$X94='Out_Dashboard'!$C$6),OR('Out_Dashboard'!$C$7="",$B94='Out_Dashboard'!$C$7)),1,0))</f>
        <v/>
      </c>
      <c r="Z94" s="25">
        <f>IF(AND($A94&lt;&gt;"",$S94&lt;&gt;"",$Y94=1),SUMPRODUCT(($A$8:$A94&lt;&gt;"")*($S$8:$S94&lt;&gt;"")*($Y$8:$Y94=1)),"")</f>
        <v/>
      </c>
      <c r="AA94" s="25">
        <f>IF(AND($A94&lt;&gt;"",$T94&lt;&gt;"",$Y94=1),SUMPRODUCT(($A$8:$A94&lt;&gt;"")*($T$8:$T94&lt;&gt;"")*($Y$8:$Y94=1)),"")</f>
        <v/>
      </c>
    </row>
    <row r="95">
      <c r="A95" s="13" t="n"/>
      <c r="B95" s="13" t="n"/>
      <c r="C95" s="26" t="n"/>
      <c r="D95" s="26" t="n"/>
      <c r="E95" s="26" t="n"/>
      <c r="F95" s="13" t="n"/>
      <c r="G95" s="13" t="n"/>
      <c r="H95" s="13" t="n"/>
      <c r="I95" s="13" t="n"/>
      <c r="J95" s="23">
        <f>IF($A95="","",IFERROR(INDEX('Ref_Crosswalk'!$F$2:$F$500,MATCH($A95,'Ref_Crosswalk'!$A$2:$A$500,0)),"UNKNOWN"))</f>
        <v/>
      </c>
      <c r="K95" s="24">
        <f>IF($A95="","",IFERROR(INDEX('Ref_Tolerance'!$B$2:$B$9,MATCH($J95,'Ref_Tolerance'!$A$2:$A$9,0)),""))</f>
        <v/>
      </c>
      <c r="L95" s="23">
        <f>IF($A95="","",IFERROR(INDEX('Ref_Tolerance'!$D$2:$D$9,MATCH($J95,'Ref_Tolerance'!$A$2:$A$9,0)),""))</f>
        <v/>
      </c>
      <c r="M95" s="24">
        <f>IF($A95="","",IFERROR(ABS(N($D95))/N($C95),0))</f>
        <v/>
      </c>
      <c r="N95" s="24">
        <f>IF($A95="","",IFERROR(N($E95)/N($C95),0))</f>
        <v/>
      </c>
      <c r="O95" s="23">
        <f>IF($A95="",0,IFERROR(SUMPRODUCT(($A$8:$A$307=$A95)*($P$8:$P$307="FAIL")*($U$8:$U$307&gt;$V95)*($U$8:$U$307&lt;=$U95)),0))</f>
        <v/>
      </c>
      <c r="P95" s="23">
        <f>IF($A95="","",IFERROR(IF(NOT(ISNUMBER($K95)),"CHECK",IF($L95="MARGIN",IF($N95&lt;=$K95,"PASS","FAIL"),IF($M95&lt;=$K95,"PASS","FAIL"))),"CHECK"))</f>
        <v/>
      </c>
      <c r="Q95" s="23">
        <f>IF($A95="","",IFERROR(INDEX('Ref_Tolerance'!$E$2:$E$9,MATCH($J95,'Ref_Tolerance'!$A$2:$A$9,0)),""))</f>
        <v/>
      </c>
      <c r="R95" s="23">
        <f>IF($A95="","",IFERROR(IF($O95=0,"CLEAR",IF($O95=1,"MFR DUE - MANAGER",IF($O95=2,"MFR DUE - FSS/CC SIGNATURE REQUIRED","INVESTIGATION + REPORT OF SURVEY; MSG/CC NOTIFIED"))),""))</f>
        <v/>
      </c>
      <c r="S95" s="23">
        <f>IF($A95="","",IF($O95=2,"WATCH - ONE MORE MISS TRIGGERS INVESTIGATION",""))</f>
        <v/>
      </c>
      <c r="T95" s="23">
        <f>IF($A95="","",IFERROR(IF(AND($O95&gt;=1,$F95&lt;&gt;"Y"),"MFR NOT SUBMITTED",IF(AND($O95&gt;=2,$G95&lt;&gt;"Y"),"FSS/CC SIGNATURE MISSING",IF(AND($O95&gt;=3,$H95&lt;&gt;"Y"),"INVESTIGATION NOT OPENED",""))),""))</f>
        <v/>
      </c>
      <c r="U95" s="25">
        <f>IF($A95="",0,IFERROR(MATCH($B95,'Ref_Calendar'!$A$2:$A$500,0),0))</f>
        <v/>
      </c>
      <c r="V95" s="25">
        <f>IF($A95="",0,IFERROR(SUMPRODUCT(MAX(($A$8:$A$307=$A95)*($P$8:$P$307="PASS")*($U$8:$U$307&lt;=$U95)*$U$8:$U$307)),0))</f>
        <v/>
      </c>
      <c r="W95" s="25">
        <f>IF($A95="","",IFERROR(INDEX('Ref_Crosswalk'!$E$2:$E$500,MATCH($A95,'Ref_Crosswalk'!$A$2:$A$500,0)),""))</f>
        <v/>
      </c>
      <c r="X95" s="25">
        <f>IF($A95="","",IFERROR(INDEX('Ref_Crosswalk'!$C$2:$C$500,MATCH($A95,'Ref_Crosswalk'!$A$2:$A$500,0)),""))</f>
        <v/>
      </c>
      <c r="Y95" s="25">
        <f>IF($A95="",0,IF(AND(OR('Out_Dashboard'!$C$5="",$W95='Out_Dashboard'!$C$5),OR('Out_Dashboard'!$C$6="",$X95='Out_Dashboard'!$C$6),OR('Out_Dashboard'!$C$7="",$B95='Out_Dashboard'!$C$7)),1,0))</f>
        <v/>
      </c>
      <c r="Z95" s="25">
        <f>IF(AND($A95&lt;&gt;"",$S95&lt;&gt;"",$Y95=1),SUMPRODUCT(($A$8:$A95&lt;&gt;"")*($S$8:$S95&lt;&gt;"")*($Y$8:$Y95=1)),"")</f>
        <v/>
      </c>
      <c r="AA95" s="25">
        <f>IF(AND($A95&lt;&gt;"",$T95&lt;&gt;"",$Y95=1),SUMPRODUCT(($A$8:$A95&lt;&gt;"")*($T$8:$T95&lt;&gt;"")*($Y$8:$Y95=1)),"")</f>
        <v/>
      </c>
    </row>
    <row r="96">
      <c r="A96" s="13" t="n"/>
      <c r="B96" s="13" t="n"/>
      <c r="C96" s="26" t="n"/>
      <c r="D96" s="26" t="n"/>
      <c r="E96" s="26" t="n"/>
      <c r="F96" s="13" t="n"/>
      <c r="G96" s="13" t="n"/>
      <c r="H96" s="13" t="n"/>
      <c r="I96" s="13" t="n"/>
      <c r="J96" s="23">
        <f>IF($A96="","",IFERROR(INDEX('Ref_Crosswalk'!$F$2:$F$500,MATCH($A96,'Ref_Crosswalk'!$A$2:$A$500,0)),"UNKNOWN"))</f>
        <v/>
      </c>
      <c r="K96" s="24">
        <f>IF($A96="","",IFERROR(INDEX('Ref_Tolerance'!$B$2:$B$9,MATCH($J96,'Ref_Tolerance'!$A$2:$A$9,0)),""))</f>
        <v/>
      </c>
      <c r="L96" s="23">
        <f>IF($A96="","",IFERROR(INDEX('Ref_Tolerance'!$D$2:$D$9,MATCH($J96,'Ref_Tolerance'!$A$2:$A$9,0)),""))</f>
        <v/>
      </c>
      <c r="M96" s="24">
        <f>IF($A96="","",IFERROR(ABS(N($D96))/N($C96),0))</f>
        <v/>
      </c>
      <c r="N96" s="24">
        <f>IF($A96="","",IFERROR(N($E96)/N($C96),0))</f>
        <v/>
      </c>
      <c r="O96" s="23">
        <f>IF($A96="",0,IFERROR(SUMPRODUCT(($A$8:$A$307=$A96)*($P$8:$P$307="FAIL")*($U$8:$U$307&gt;$V96)*($U$8:$U$307&lt;=$U96)),0))</f>
        <v/>
      </c>
      <c r="P96" s="23">
        <f>IF($A96="","",IFERROR(IF(NOT(ISNUMBER($K96)),"CHECK",IF($L96="MARGIN",IF($N96&lt;=$K96,"PASS","FAIL"),IF($M96&lt;=$K96,"PASS","FAIL"))),"CHECK"))</f>
        <v/>
      </c>
      <c r="Q96" s="23">
        <f>IF($A96="","",IFERROR(INDEX('Ref_Tolerance'!$E$2:$E$9,MATCH($J96,'Ref_Tolerance'!$A$2:$A$9,0)),""))</f>
        <v/>
      </c>
      <c r="R96" s="23">
        <f>IF($A96="","",IFERROR(IF($O96=0,"CLEAR",IF($O96=1,"MFR DUE - MANAGER",IF($O96=2,"MFR DUE - FSS/CC SIGNATURE REQUIRED","INVESTIGATION + REPORT OF SURVEY; MSG/CC NOTIFIED"))),""))</f>
        <v/>
      </c>
      <c r="S96" s="23">
        <f>IF($A96="","",IF($O96=2,"WATCH - ONE MORE MISS TRIGGERS INVESTIGATION",""))</f>
        <v/>
      </c>
      <c r="T96" s="23">
        <f>IF($A96="","",IFERROR(IF(AND($O96&gt;=1,$F96&lt;&gt;"Y"),"MFR NOT SUBMITTED",IF(AND($O96&gt;=2,$G96&lt;&gt;"Y"),"FSS/CC SIGNATURE MISSING",IF(AND($O96&gt;=3,$H96&lt;&gt;"Y"),"INVESTIGATION NOT OPENED",""))),""))</f>
        <v/>
      </c>
      <c r="U96" s="25">
        <f>IF($A96="",0,IFERROR(MATCH($B96,'Ref_Calendar'!$A$2:$A$500,0),0))</f>
        <v/>
      </c>
      <c r="V96" s="25">
        <f>IF($A96="",0,IFERROR(SUMPRODUCT(MAX(($A$8:$A$307=$A96)*($P$8:$P$307="PASS")*($U$8:$U$307&lt;=$U96)*$U$8:$U$307)),0))</f>
        <v/>
      </c>
      <c r="W96" s="25">
        <f>IF($A96="","",IFERROR(INDEX('Ref_Crosswalk'!$E$2:$E$500,MATCH($A96,'Ref_Crosswalk'!$A$2:$A$500,0)),""))</f>
        <v/>
      </c>
      <c r="X96" s="25">
        <f>IF($A96="","",IFERROR(INDEX('Ref_Crosswalk'!$C$2:$C$500,MATCH($A96,'Ref_Crosswalk'!$A$2:$A$500,0)),""))</f>
        <v/>
      </c>
      <c r="Y96" s="25">
        <f>IF($A96="",0,IF(AND(OR('Out_Dashboard'!$C$5="",$W96='Out_Dashboard'!$C$5),OR('Out_Dashboard'!$C$6="",$X96='Out_Dashboard'!$C$6),OR('Out_Dashboard'!$C$7="",$B96='Out_Dashboard'!$C$7)),1,0))</f>
        <v/>
      </c>
      <c r="Z96" s="25">
        <f>IF(AND($A96&lt;&gt;"",$S96&lt;&gt;"",$Y96=1),SUMPRODUCT(($A$8:$A96&lt;&gt;"")*($S$8:$S96&lt;&gt;"")*($Y$8:$Y96=1)),"")</f>
        <v/>
      </c>
      <c r="AA96" s="25">
        <f>IF(AND($A96&lt;&gt;"",$T96&lt;&gt;"",$Y96=1),SUMPRODUCT(($A$8:$A96&lt;&gt;"")*($T$8:$T96&lt;&gt;"")*($Y$8:$Y96=1)),"")</f>
        <v/>
      </c>
    </row>
    <row r="97">
      <c r="A97" s="13" t="n"/>
      <c r="B97" s="13" t="n"/>
      <c r="C97" s="26" t="n"/>
      <c r="D97" s="26" t="n"/>
      <c r="E97" s="26" t="n"/>
      <c r="F97" s="13" t="n"/>
      <c r="G97" s="13" t="n"/>
      <c r="H97" s="13" t="n"/>
      <c r="I97" s="13" t="n"/>
      <c r="J97" s="23">
        <f>IF($A97="","",IFERROR(INDEX('Ref_Crosswalk'!$F$2:$F$500,MATCH($A97,'Ref_Crosswalk'!$A$2:$A$500,0)),"UNKNOWN"))</f>
        <v/>
      </c>
      <c r="K97" s="24">
        <f>IF($A97="","",IFERROR(INDEX('Ref_Tolerance'!$B$2:$B$9,MATCH($J97,'Ref_Tolerance'!$A$2:$A$9,0)),""))</f>
        <v/>
      </c>
      <c r="L97" s="23">
        <f>IF($A97="","",IFERROR(INDEX('Ref_Tolerance'!$D$2:$D$9,MATCH($J97,'Ref_Tolerance'!$A$2:$A$9,0)),""))</f>
        <v/>
      </c>
      <c r="M97" s="24">
        <f>IF($A97="","",IFERROR(ABS(N($D97))/N($C97),0))</f>
        <v/>
      </c>
      <c r="N97" s="24">
        <f>IF($A97="","",IFERROR(N($E97)/N($C97),0))</f>
        <v/>
      </c>
      <c r="O97" s="23">
        <f>IF($A97="",0,IFERROR(SUMPRODUCT(($A$8:$A$307=$A97)*($P$8:$P$307="FAIL")*($U$8:$U$307&gt;$V97)*($U$8:$U$307&lt;=$U97)),0))</f>
        <v/>
      </c>
      <c r="P97" s="23">
        <f>IF($A97="","",IFERROR(IF(NOT(ISNUMBER($K97)),"CHECK",IF($L97="MARGIN",IF($N97&lt;=$K97,"PASS","FAIL"),IF($M97&lt;=$K97,"PASS","FAIL"))),"CHECK"))</f>
        <v/>
      </c>
      <c r="Q97" s="23">
        <f>IF($A97="","",IFERROR(INDEX('Ref_Tolerance'!$E$2:$E$9,MATCH($J97,'Ref_Tolerance'!$A$2:$A$9,0)),""))</f>
        <v/>
      </c>
      <c r="R97" s="23">
        <f>IF($A97="","",IFERROR(IF($O97=0,"CLEAR",IF($O97=1,"MFR DUE - MANAGER",IF($O97=2,"MFR DUE - FSS/CC SIGNATURE REQUIRED","INVESTIGATION + REPORT OF SURVEY; MSG/CC NOTIFIED"))),""))</f>
        <v/>
      </c>
      <c r="S97" s="23">
        <f>IF($A97="","",IF($O97=2,"WATCH - ONE MORE MISS TRIGGERS INVESTIGATION",""))</f>
        <v/>
      </c>
      <c r="T97" s="23">
        <f>IF($A97="","",IFERROR(IF(AND($O97&gt;=1,$F97&lt;&gt;"Y"),"MFR NOT SUBMITTED",IF(AND($O97&gt;=2,$G97&lt;&gt;"Y"),"FSS/CC SIGNATURE MISSING",IF(AND($O97&gt;=3,$H97&lt;&gt;"Y"),"INVESTIGATION NOT OPENED",""))),""))</f>
        <v/>
      </c>
      <c r="U97" s="25">
        <f>IF($A97="",0,IFERROR(MATCH($B97,'Ref_Calendar'!$A$2:$A$500,0),0))</f>
        <v/>
      </c>
      <c r="V97" s="25">
        <f>IF($A97="",0,IFERROR(SUMPRODUCT(MAX(($A$8:$A$307=$A97)*($P$8:$P$307="PASS")*($U$8:$U$307&lt;=$U97)*$U$8:$U$307)),0))</f>
        <v/>
      </c>
      <c r="W97" s="25">
        <f>IF($A97="","",IFERROR(INDEX('Ref_Crosswalk'!$E$2:$E$500,MATCH($A97,'Ref_Crosswalk'!$A$2:$A$500,0)),""))</f>
        <v/>
      </c>
      <c r="X97" s="25">
        <f>IF($A97="","",IFERROR(INDEX('Ref_Crosswalk'!$C$2:$C$500,MATCH($A97,'Ref_Crosswalk'!$A$2:$A$500,0)),""))</f>
        <v/>
      </c>
      <c r="Y97" s="25">
        <f>IF($A97="",0,IF(AND(OR('Out_Dashboard'!$C$5="",$W97='Out_Dashboard'!$C$5),OR('Out_Dashboard'!$C$6="",$X97='Out_Dashboard'!$C$6),OR('Out_Dashboard'!$C$7="",$B97='Out_Dashboard'!$C$7)),1,0))</f>
        <v/>
      </c>
      <c r="Z97" s="25">
        <f>IF(AND($A97&lt;&gt;"",$S97&lt;&gt;"",$Y97=1),SUMPRODUCT(($A$8:$A97&lt;&gt;"")*($S$8:$S97&lt;&gt;"")*($Y$8:$Y97=1)),"")</f>
        <v/>
      </c>
      <c r="AA97" s="25">
        <f>IF(AND($A97&lt;&gt;"",$T97&lt;&gt;"",$Y97=1),SUMPRODUCT(($A$8:$A97&lt;&gt;"")*($T$8:$T97&lt;&gt;"")*($Y$8:$Y97=1)),"")</f>
        <v/>
      </c>
    </row>
    <row r="98">
      <c r="A98" s="13" t="n"/>
      <c r="B98" s="13" t="n"/>
      <c r="C98" s="26" t="n"/>
      <c r="D98" s="26" t="n"/>
      <c r="E98" s="26" t="n"/>
      <c r="F98" s="13" t="n"/>
      <c r="G98" s="13" t="n"/>
      <c r="H98" s="13" t="n"/>
      <c r="I98" s="13" t="n"/>
      <c r="J98" s="23">
        <f>IF($A98="","",IFERROR(INDEX('Ref_Crosswalk'!$F$2:$F$500,MATCH($A98,'Ref_Crosswalk'!$A$2:$A$500,0)),"UNKNOWN"))</f>
        <v/>
      </c>
      <c r="K98" s="24">
        <f>IF($A98="","",IFERROR(INDEX('Ref_Tolerance'!$B$2:$B$9,MATCH($J98,'Ref_Tolerance'!$A$2:$A$9,0)),""))</f>
        <v/>
      </c>
      <c r="L98" s="23">
        <f>IF($A98="","",IFERROR(INDEX('Ref_Tolerance'!$D$2:$D$9,MATCH($J98,'Ref_Tolerance'!$A$2:$A$9,0)),""))</f>
        <v/>
      </c>
      <c r="M98" s="24">
        <f>IF($A98="","",IFERROR(ABS(N($D98))/N($C98),0))</f>
        <v/>
      </c>
      <c r="N98" s="24">
        <f>IF($A98="","",IFERROR(N($E98)/N($C98),0))</f>
        <v/>
      </c>
      <c r="O98" s="23">
        <f>IF($A98="",0,IFERROR(SUMPRODUCT(($A$8:$A$307=$A98)*($P$8:$P$307="FAIL")*($U$8:$U$307&gt;$V98)*($U$8:$U$307&lt;=$U98)),0))</f>
        <v/>
      </c>
      <c r="P98" s="23">
        <f>IF($A98="","",IFERROR(IF(NOT(ISNUMBER($K98)),"CHECK",IF($L98="MARGIN",IF($N98&lt;=$K98,"PASS","FAIL"),IF($M98&lt;=$K98,"PASS","FAIL"))),"CHECK"))</f>
        <v/>
      </c>
      <c r="Q98" s="23">
        <f>IF($A98="","",IFERROR(INDEX('Ref_Tolerance'!$E$2:$E$9,MATCH($J98,'Ref_Tolerance'!$A$2:$A$9,0)),""))</f>
        <v/>
      </c>
      <c r="R98" s="23">
        <f>IF($A98="","",IFERROR(IF($O98=0,"CLEAR",IF($O98=1,"MFR DUE - MANAGER",IF($O98=2,"MFR DUE - FSS/CC SIGNATURE REQUIRED","INVESTIGATION + REPORT OF SURVEY; MSG/CC NOTIFIED"))),""))</f>
        <v/>
      </c>
      <c r="S98" s="23">
        <f>IF($A98="","",IF($O98=2,"WATCH - ONE MORE MISS TRIGGERS INVESTIGATION",""))</f>
        <v/>
      </c>
      <c r="T98" s="23">
        <f>IF($A98="","",IFERROR(IF(AND($O98&gt;=1,$F98&lt;&gt;"Y"),"MFR NOT SUBMITTED",IF(AND($O98&gt;=2,$G98&lt;&gt;"Y"),"FSS/CC SIGNATURE MISSING",IF(AND($O98&gt;=3,$H98&lt;&gt;"Y"),"INVESTIGATION NOT OPENED",""))),""))</f>
        <v/>
      </c>
      <c r="U98" s="25">
        <f>IF($A98="",0,IFERROR(MATCH($B98,'Ref_Calendar'!$A$2:$A$500,0),0))</f>
        <v/>
      </c>
      <c r="V98" s="25">
        <f>IF($A98="",0,IFERROR(SUMPRODUCT(MAX(($A$8:$A$307=$A98)*($P$8:$P$307="PASS")*($U$8:$U$307&lt;=$U98)*$U$8:$U$307)),0))</f>
        <v/>
      </c>
      <c r="W98" s="25">
        <f>IF($A98="","",IFERROR(INDEX('Ref_Crosswalk'!$E$2:$E$500,MATCH($A98,'Ref_Crosswalk'!$A$2:$A$500,0)),""))</f>
        <v/>
      </c>
      <c r="X98" s="25">
        <f>IF($A98="","",IFERROR(INDEX('Ref_Crosswalk'!$C$2:$C$500,MATCH($A98,'Ref_Crosswalk'!$A$2:$A$500,0)),""))</f>
        <v/>
      </c>
      <c r="Y98" s="25">
        <f>IF($A98="",0,IF(AND(OR('Out_Dashboard'!$C$5="",$W98='Out_Dashboard'!$C$5),OR('Out_Dashboard'!$C$6="",$X98='Out_Dashboard'!$C$6),OR('Out_Dashboard'!$C$7="",$B98='Out_Dashboard'!$C$7)),1,0))</f>
        <v/>
      </c>
      <c r="Z98" s="25">
        <f>IF(AND($A98&lt;&gt;"",$S98&lt;&gt;"",$Y98=1),SUMPRODUCT(($A$8:$A98&lt;&gt;"")*($S$8:$S98&lt;&gt;"")*($Y$8:$Y98=1)),"")</f>
        <v/>
      </c>
      <c r="AA98" s="25">
        <f>IF(AND($A98&lt;&gt;"",$T98&lt;&gt;"",$Y98=1),SUMPRODUCT(($A$8:$A98&lt;&gt;"")*($T$8:$T98&lt;&gt;"")*($Y$8:$Y98=1)),"")</f>
        <v/>
      </c>
    </row>
    <row r="99">
      <c r="A99" s="13" t="n"/>
      <c r="B99" s="13" t="n"/>
      <c r="C99" s="26" t="n"/>
      <c r="D99" s="26" t="n"/>
      <c r="E99" s="26" t="n"/>
      <c r="F99" s="13" t="n"/>
      <c r="G99" s="13" t="n"/>
      <c r="H99" s="13" t="n"/>
      <c r="I99" s="13" t="n"/>
      <c r="J99" s="23">
        <f>IF($A99="","",IFERROR(INDEX('Ref_Crosswalk'!$F$2:$F$500,MATCH($A99,'Ref_Crosswalk'!$A$2:$A$500,0)),"UNKNOWN"))</f>
        <v/>
      </c>
      <c r="K99" s="24">
        <f>IF($A99="","",IFERROR(INDEX('Ref_Tolerance'!$B$2:$B$9,MATCH($J99,'Ref_Tolerance'!$A$2:$A$9,0)),""))</f>
        <v/>
      </c>
      <c r="L99" s="23">
        <f>IF($A99="","",IFERROR(INDEX('Ref_Tolerance'!$D$2:$D$9,MATCH($J99,'Ref_Tolerance'!$A$2:$A$9,0)),""))</f>
        <v/>
      </c>
      <c r="M99" s="24">
        <f>IF($A99="","",IFERROR(ABS(N($D99))/N($C99),0))</f>
        <v/>
      </c>
      <c r="N99" s="24">
        <f>IF($A99="","",IFERROR(N($E99)/N($C99),0))</f>
        <v/>
      </c>
      <c r="O99" s="23">
        <f>IF($A99="",0,IFERROR(SUMPRODUCT(($A$8:$A$307=$A99)*($P$8:$P$307="FAIL")*($U$8:$U$307&gt;$V99)*($U$8:$U$307&lt;=$U99)),0))</f>
        <v/>
      </c>
      <c r="P99" s="23">
        <f>IF($A99="","",IFERROR(IF(NOT(ISNUMBER($K99)),"CHECK",IF($L99="MARGIN",IF($N99&lt;=$K99,"PASS","FAIL"),IF($M99&lt;=$K99,"PASS","FAIL"))),"CHECK"))</f>
        <v/>
      </c>
      <c r="Q99" s="23">
        <f>IF($A99="","",IFERROR(INDEX('Ref_Tolerance'!$E$2:$E$9,MATCH($J99,'Ref_Tolerance'!$A$2:$A$9,0)),""))</f>
        <v/>
      </c>
      <c r="R99" s="23">
        <f>IF($A99="","",IFERROR(IF($O99=0,"CLEAR",IF($O99=1,"MFR DUE - MANAGER",IF($O99=2,"MFR DUE - FSS/CC SIGNATURE REQUIRED","INVESTIGATION + REPORT OF SURVEY; MSG/CC NOTIFIED"))),""))</f>
        <v/>
      </c>
      <c r="S99" s="23">
        <f>IF($A99="","",IF($O99=2,"WATCH - ONE MORE MISS TRIGGERS INVESTIGATION",""))</f>
        <v/>
      </c>
      <c r="T99" s="23">
        <f>IF($A99="","",IFERROR(IF(AND($O99&gt;=1,$F99&lt;&gt;"Y"),"MFR NOT SUBMITTED",IF(AND($O99&gt;=2,$G99&lt;&gt;"Y"),"FSS/CC SIGNATURE MISSING",IF(AND($O99&gt;=3,$H99&lt;&gt;"Y"),"INVESTIGATION NOT OPENED",""))),""))</f>
        <v/>
      </c>
      <c r="U99" s="25">
        <f>IF($A99="",0,IFERROR(MATCH($B99,'Ref_Calendar'!$A$2:$A$500,0),0))</f>
        <v/>
      </c>
      <c r="V99" s="25">
        <f>IF($A99="",0,IFERROR(SUMPRODUCT(MAX(($A$8:$A$307=$A99)*($P$8:$P$307="PASS")*($U$8:$U$307&lt;=$U99)*$U$8:$U$307)),0))</f>
        <v/>
      </c>
      <c r="W99" s="25">
        <f>IF($A99="","",IFERROR(INDEX('Ref_Crosswalk'!$E$2:$E$500,MATCH($A99,'Ref_Crosswalk'!$A$2:$A$500,0)),""))</f>
        <v/>
      </c>
      <c r="X99" s="25">
        <f>IF($A99="","",IFERROR(INDEX('Ref_Crosswalk'!$C$2:$C$500,MATCH($A99,'Ref_Crosswalk'!$A$2:$A$500,0)),""))</f>
        <v/>
      </c>
      <c r="Y99" s="25">
        <f>IF($A99="",0,IF(AND(OR('Out_Dashboard'!$C$5="",$W99='Out_Dashboard'!$C$5),OR('Out_Dashboard'!$C$6="",$X99='Out_Dashboard'!$C$6),OR('Out_Dashboard'!$C$7="",$B99='Out_Dashboard'!$C$7)),1,0))</f>
        <v/>
      </c>
      <c r="Z99" s="25">
        <f>IF(AND($A99&lt;&gt;"",$S99&lt;&gt;"",$Y99=1),SUMPRODUCT(($A$8:$A99&lt;&gt;"")*($S$8:$S99&lt;&gt;"")*($Y$8:$Y99=1)),"")</f>
        <v/>
      </c>
      <c r="AA99" s="25">
        <f>IF(AND($A99&lt;&gt;"",$T99&lt;&gt;"",$Y99=1),SUMPRODUCT(($A$8:$A99&lt;&gt;"")*($T$8:$T99&lt;&gt;"")*($Y$8:$Y99=1)),"")</f>
        <v/>
      </c>
    </row>
    <row r="100">
      <c r="A100" s="13" t="n"/>
      <c r="B100" s="13" t="n"/>
      <c r="C100" s="26" t="n"/>
      <c r="D100" s="26" t="n"/>
      <c r="E100" s="26" t="n"/>
      <c r="F100" s="13" t="n"/>
      <c r="G100" s="13" t="n"/>
      <c r="H100" s="13" t="n"/>
      <c r="I100" s="13" t="n"/>
      <c r="J100" s="23">
        <f>IF($A100="","",IFERROR(INDEX('Ref_Crosswalk'!$F$2:$F$500,MATCH($A100,'Ref_Crosswalk'!$A$2:$A$500,0)),"UNKNOWN"))</f>
        <v/>
      </c>
      <c r="K100" s="24">
        <f>IF($A100="","",IFERROR(INDEX('Ref_Tolerance'!$B$2:$B$9,MATCH($J100,'Ref_Tolerance'!$A$2:$A$9,0)),""))</f>
        <v/>
      </c>
      <c r="L100" s="23">
        <f>IF($A100="","",IFERROR(INDEX('Ref_Tolerance'!$D$2:$D$9,MATCH($J100,'Ref_Tolerance'!$A$2:$A$9,0)),""))</f>
        <v/>
      </c>
      <c r="M100" s="24">
        <f>IF($A100="","",IFERROR(ABS(N($D100))/N($C100),0))</f>
        <v/>
      </c>
      <c r="N100" s="24">
        <f>IF($A100="","",IFERROR(N($E100)/N($C100),0))</f>
        <v/>
      </c>
      <c r="O100" s="23">
        <f>IF($A100="",0,IFERROR(SUMPRODUCT(($A$8:$A$307=$A100)*($P$8:$P$307="FAIL")*($U$8:$U$307&gt;$V100)*($U$8:$U$307&lt;=$U100)),0))</f>
        <v/>
      </c>
      <c r="P100" s="23">
        <f>IF($A100="","",IFERROR(IF(NOT(ISNUMBER($K100)),"CHECK",IF($L100="MARGIN",IF($N100&lt;=$K100,"PASS","FAIL"),IF($M100&lt;=$K100,"PASS","FAIL"))),"CHECK"))</f>
        <v/>
      </c>
      <c r="Q100" s="23">
        <f>IF($A100="","",IFERROR(INDEX('Ref_Tolerance'!$E$2:$E$9,MATCH($J100,'Ref_Tolerance'!$A$2:$A$9,0)),""))</f>
        <v/>
      </c>
      <c r="R100" s="23">
        <f>IF($A100="","",IFERROR(IF($O100=0,"CLEAR",IF($O100=1,"MFR DUE - MANAGER",IF($O100=2,"MFR DUE - FSS/CC SIGNATURE REQUIRED","INVESTIGATION + REPORT OF SURVEY; MSG/CC NOTIFIED"))),""))</f>
        <v/>
      </c>
      <c r="S100" s="23">
        <f>IF($A100="","",IF($O100=2,"WATCH - ONE MORE MISS TRIGGERS INVESTIGATION",""))</f>
        <v/>
      </c>
      <c r="T100" s="23">
        <f>IF($A100="","",IFERROR(IF(AND($O100&gt;=1,$F100&lt;&gt;"Y"),"MFR NOT SUBMITTED",IF(AND($O100&gt;=2,$G100&lt;&gt;"Y"),"FSS/CC SIGNATURE MISSING",IF(AND($O100&gt;=3,$H100&lt;&gt;"Y"),"INVESTIGATION NOT OPENED",""))),""))</f>
        <v/>
      </c>
      <c r="U100" s="25">
        <f>IF($A100="",0,IFERROR(MATCH($B100,'Ref_Calendar'!$A$2:$A$500,0),0))</f>
        <v/>
      </c>
      <c r="V100" s="25">
        <f>IF($A100="",0,IFERROR(SUMPRODUCT(MAX(($A$8:$A$307=$A100)*($P$8:$P$307="PASS")*($U$8:$U$307&lt;=$U100)*$U$8:$U$307)),0))</f>
        <v/>
      </c>
      <c r="W100" s="25">
        <f>IF($A100="","",IFERROR(INDEX('Ref_Crosswalk'!$E$2:$E$500,MATCH($A100,'Ref_Crosswalk'!$A$2:$A$500,0)),""))</f>
        <v/>
      </c>
      <c r="X100" s="25">
        <f>IF($A100="","",IFERROR(INDEX('Ref_Crosswalk'!$C$2:$C$500,MATCH($A100,'Ref_Crosswalk'!$A$2:$A$500,0)),""))</f>
        <v/>
      </c>
      <c r="Y100" s="25">
        <f>IF($A100="",0,IF(AND(OR('Out_Dashboard'!$C$5="",$W100='Out_Dashboard'!$C$5),OR('Out_Dashboard'!$C$6="",$X100='Out_Dashboard'!$C$6),OR('Out_Dashboard'!$C$7="",$B100='Out_Dashboard'!$C$7)),1,0))</f>
        <v/>
      </c>
      <c r="Z100" s="25">
        <f>IF(AND($A100&lt;&gt;"",$S100&lt;&gt;"",$Y100=1),SUMPRODUCT(($A$8:$A100&lt;&gt;"")*($S$8:$S100&lt;&gt;"")*($Y$8:$Y100=1)),"")</f>
        <v/>
      </c>
      <c r="AA100" s="25">
        <f>IF(AND($A100&lt;&gt;"",$T100&lt;&gt;"",$Y100=1),SUMPRODUCT(($A$8:$A100&lt;&gt;"")*($T$8:$T100&lt;&gt;"")*($Y$8:$Y100=1)),"")</f>
        <v/>
      </c>
    </row>
    <row r="101">
      <c r="A101" s="13" t="n"/>
      <c r="B101" s="13" t="n"/>
      <c r="C101" s="26" t="n"/>
      <c r="D101" s="26" t="n"/>
      <c r="E101" s="26" t="n"/>
      <c r="F101" s="13" t="n"/>
      <c r="G101" s="13" t="n"/>
      <c r="H101" s="13" t="n"/>
      <c r="I101" s="13" t="n"/>
      <c r="J101" s="23">
        <f>IF($A101="","",IFERROR(INDEX('Ref_Crosswalk'!$F$2:$F$500,MATCH($A101,'Ref_Crosswalk'!$A$2:$A$500,0)),"UNKNOWN"))</f>
        <v/>
      </c>
      <c r="K101" s="24">
        <f>IF($A101="","",IFERROR(INDEX('Ref_Tolerance'!$B$2:$B$9,MATCH($J101,'Ref_Tolerance'!$A$2:$A$9,0)),""))</f>
        <v/>
      </c>
      <c r="L101" s="23">
        <f>IF($A101="","",IFERROR(INDEX('Ref_Tolerance'!$D$2:$D$9,MATCH($J101,'Ref_Tolerance'!$A$2:$A$9,0)),""))</f>
        <v/>
      </c>
      <c r="M101" s="24">
        <f>IF($A101="","",IFERROR(ABS(N($D101))/N($C101),0))</f>
        <v/>
      </c>
      <c r="N101" s="24">
        <f>IF($A101="","",IFERROR(N($E101)/N($C101),0))</f>
        <v/>
      </c>
      <c r="O101" s="23">
        <f>IF($A101="",0,IFERROR(SUMPRODUCT(($A$8:$A$307=$A101)*($P$8:$P$307="FAIL")*($U$8:$U$307&gt;$V101)*($U$8:$U$307&lt;=$U101)),0))</f>
        <v/>
      </c>
      <c r="P101" s="23">
        <f>IF($A101="","",IFERROR(IF(NOT(ISNUMBER($K101)),"CHECK",IF($L101="MARGIN",IF($N101&lt;=$K101,"PASS","FAIL"),IF($M101&lt;=$K101,"PASS","FAIL"))),"CHECK"))</f>
        <v/>
      </c>
      <c r="Q101" s="23">
        <f>IF($A101="","",IFERROR(INDEX('Ref_Tolerance'!$E$2:$E$9,MATCH($J101,'Ref_Tolerance'!$A$2:$A$9,0)),""))</f>
        <v/>
      </c>
      <c r="R101" s="23">
        <f>IF($A101="","",IFERROR(IF($O101=0,"CLEAR",IF($O101=1,"MFR DUE - MANAGER",IF($O101=2,"MFR DUE - FSS/CC SIGNATURE REQUIRED","INVESTIGATION + REPORT OF SURVEY; MSG/CC NOTIFIED"))),""))</f>
        <v/>
      </c>
      <c r="S101" s="23">
        <f>IF($A101="","",IF($O101=2,"WATCH - ONE MORE MISS TRIGGERS INVESTIGATION",""))</f>
        <v/>
      </c>
      <c r="T101" s="23">
        <f>IF($A101="","",IFERROR(IF(AND($O101&gt;=1,$F101&lt;&gt;"Y"),"MFR NOT SUBMITTED",IF(AND($O101&gt;=2,$G101&lt;&gt;"Y"),"FSS/CC SIGNATURE MISSING",IF(AND($O101&gt;=3,$H101&lt;&gt;"Y"),"INVESTIGATION NOT OPENED",""))),""))</f>
        <v/>
      </c>
      <c r="U101" s="25">
        <f>IF($A101="",0,IFERROR(MATCH($B101,'Ref_Calendar'!$A$2:$A$500,0),0))</f>
        <v/>
      </c>
      <c r="V101" s="25">
        <f>IF($A101="",0,IFERROR(SUMPRODUCT(MAX(($A$8:$A$307=$A101)*($P$8:$P$307="PASS")*($U$8:$U$307&lt;=$U101)*$U$8:$U$307)),0))</f>
        <v/>
      </c>
      <c r="W101" s="25">
        <f>IF($A101="","",IFERROR(INDEX('Ref_Crosswalk'!$E$2:$E$500,MATCH($A101,'Ref_Crosswalk'!$A$2:$A$500,0)),""))</f>
        <v/>
      </c>
      <c r="X101" s="25">
        <f>IF($A101="","",IFERROR(INDEX('Ref_Crosswalk'!$C$2:$C$500,MATCH($A101,'Ref_Crosswalk'!$A$2:$A$500,0)),""))</f>
        <v/>
      </c>
      <c r="Y101" s="25">
        <f>IF($A101="",0,IF(AND(OR('Out_Dashboard'!$C$5="",$W101='Out_Dashboard'!$C$5),OR('Out_Dashboard'!$C$6="",$X101='Out_Dashboard'!$C$6),OR('Out_Dashboard'!$C$7="",$B101='Out_Dashboard'!$C$7)),1,0))</f>
        <v/>
      </c>
      <c r="Z101" s="25">
        <f>IF(AND($A101&lt;&gt;"",$S101&lt;&gt;"",$Y101=1),SUMPRODUCT(($A$8:$A101&lt;&gt;"")*($S$8:$S101&lt;&gt;"")*($Y$8:$Y101=1)),"")</f>
        <v/>
      </c>
      <c r="AA101" s="25">
        <f>IF(AND($A101&lt;&gt;"",$T101&lt;&gt;"",$Y101=1),SUMPRODUCT(($A$8:$A101&lt;&gt;"")*($T$8:$T101&lt;&gt;"")*($Y$8:$Y101=1)),"")</f>
        <v/>
      </c>
    </row>
    <row r="102">
      <c r="A102" s="13" t="n"/>
      <c r="B102" s="13" t="n"/>
      <c r="C102" s="26" t="n"/>
      <c r="D102" s="26" t="n"/>
      <c r="E102" s="26" t="n"/>
      <c r="F102" s="13" t="n"/>
      <c r="G102" s="13" t="n"/>
      <c r="H102" s="13" t="n"/>
      <c r="I102" s="13" t="n"/>
      <c r="J102" s="23">
        <f>IF($A102="","",IFERROR(INDEX('Ref_Crosswalk'!$F$2:$F$500,MATCH($A102,'Ref_Crosswalk'!$A$2:$A$500,0)),"UNKNOWN"))</f>
        <v/>
      </c>
      <c r="K102" s="24">
        <f>IF($A102="","",IFERROR(INDEX('Ref_Tolerance'!$B$2:$B$9,MATCH($J102,'Ref_Tolerance'!$A$2:$A$9,0)),""))</f>
        <v/>
      </c>
      <c r="L102" s="23">
        <f>IF($A102="","",IFERROR(INDEX('Ref_Tolerance'!$D$2:$D$9,MATCH($J102,'Ref_Tolerance'!$A$2:$A$9,0)),""))</f>
        <v/>
      </c>
      <c r="M102" s="24">
        <f>IF($A102="","",IFERROR(ABS(N($D102))/N($C102),0))</f>
        <v/>
      </c>
      <c r="N102" s="24">
        <f>IF($A102="","",IFERROR(N($E102)/N($C102),0))</f>
        <v/>
      </c>
      <c r="O102" s="23">
        <f>IF($A102="",0,IFERROR(SUMPRODUCT(($A$8:$A$307=$A102)*($P$8:$P$307="FAIL")*($U$8:$U$307&gt;$V102)*($U$8:$U$307&lt;=$U102)),0))</f>
        <v/>
      </c>
      <c r="P102" s="23">
        <f>IF($A102="","",IFERROR(IF(NOT(ISNUMBER($K102)),"CHECK",IF($L102="MARGIN",IF($N102&lt;=$K102,"PASS","FAIL"),IF($M102&lt;=$K102,"PASS","FAIL"))),"CHECK"))</f>
        <v/>
      </c>
      <c r="Q102" s="23">
        <f>IF($A102="","",IFERROR(INDEX('Ref_Tolerance'!$E$2:$E$9,MATCH($J102,'Ref_Tolerance'!$A$2:$A$9,0)),""))</f>
        <v/>
      </c>
      <c r="R102" s="23">
        <f>IF($A102="","",IFERROR(IF($O102=0,"CLEAR",IF($O102=1,"MFR DUE - MANAGER",IF($O102=2,"MFR DUE - FSS/CC SIGNATURE REQUIRED","INVESTIGATION + REPORT OF SURVEY; MSG/CC NOTIFIED"))),""))</f>
        <v/>
      </c>
      <c r="S102" s="23">
        <f>IF($A102="","",IF($O102=2,"WATCH - ONE MORE MISS TRIGGERS INVESTIGATION",""))</f>
        <v/>
      </c>
      <c r="T102" s="23">
        <f>IF($A102="","",IFERROR(IF(AND($O102&gt;=1,$F102&lt;&gt;"Y"),"MFR NOT SUBMITTED",IF(AND($O102&gt;=2,$G102&lt;&gt;"Y"),"FSS/CC SIGNATURE MISSING",IF(AND($O102&gt;=3,$H102&lt;&gt;"Y"),"INVESTIGATION NOT OPENED",""))),""))</f>
        <v/>
      </c>
      <c r="U102" s="25">
        <f>IF($A102="",0,IFERROR(MATCH($B102,'Ref_Calendar'!$A$2:$A$500,0),0))</f>
        <v/>
      </c>
      <c r="V102" s="25">
        <f>IF($A102="",0,IFERROR(SUMPRODUCT(MAX(($A$8:$A$307=$A102)*($P$8:$P$307="PASS")*($U$8:$U$307&lt;=$U102)*$U$8:$U$307)),0))</f>
        <v/>
      </c>
      <c r="W102" s="25">
        <f>IF($A102="","",IFERROR(INDEX('Ref_Crosswalk'!$E$2:$E$500,MATCH($A102,'Ref_Crosswalk'!$A$2:$A$500,0)),""))</f>
        <v/>
      </c>
      <c r="X102" s="25">
        <f>IF($A102="","",IFERROR(INDEX('Ref_Crosswalk'!$C$2:$C$500,MATCH($A102,'Ref_Crosswalk'!$A$2:$A$500,0)),""))</f>
        <v/>
      </c>
      <c r="Y102" s="25">
        <f>IF($A102="",0,IF(AND(OR('Out_Dashboard'!$C$5="",$W102='Out_Dashboard'!$C$5),OR('Out_Dashboard'!$C$6="",$X102='Out_Dashboard'!$C$6),OR('Out_Dashboard'!$C$7="",$B102='Out_Dashboard'!$C$7)),1,0))</f>
        <v/>
      </c>
      <c r="Z102" s="25">
        <f>IF(AND($A102&lt;&gt;"",$S102&lt;&gt;"",$Y102=1),SUMPRODUCT(($A$8:$A102&lt;&gt;"")*($S$8:$S102&lt;&gt;"")*($Y$8:$Y102=1)),"")</f>
        <v/>
      </c>
      <c r="AA102" s="25">
        <f>IF(AND($A102&lt;&gt;"",$T102&lt;&gt;"",$Y102=1),SUMPRODUCT(($A$8:$A102&lt;&gt;"")*($T$8:$T102&lt;&gt;"")*($Y$8:$Y102=1)),"")</f>
        <v/>
      </c>
    </row>
    <row r="103">
      <c r="A103" s="13" t="n"/>
      <c r="B103" s="13" t="n"/>
      <c r="C103" s="26" t="n"/>
      <c r="D103" s="26" t="n"/>
      <c r="E103" s="26" t="n"/>
      <c r="F103" s="13" t="n"/>
      <c r="G103" s="13" t="n"/>
      <c r="H103" s="13" t="n"/>
      <c r="I103" s="13" t="n"/>
      <c r="J103" s="23">
        <f>IF($A103="","",IFERROR(INDEX('Ref_Crosswalk'!$F$2:$F$500,MATCH($A103,'Ref_Crosswalk'!$A$2:$A$500,0)),"UNKNOWN"))</f>
        <v/>
      </c>
      <c r="K103" s="24">
        <f>IF($A103="","",IFERROR(INDEX('Ref_Tolerance'!$B$2:$B$9,MATCH($J103,'Ref_Tolerance'!$A$2:$A$9,0)),""))</f>
        <v/>
      </c>
      <c r="L103" s="23">
        <f>IF($A103="","",IFERROR(INDEX('Ref_Tolerance'!$D$2:$D$9,MATCH($J103,'Ref_Tolerance'!$A$2:$A$9,0)),""))</f>
        <v/>
      </c>
      <c r="M103" s="24">
        <f>IF($A103="","",IFERROR(ABS(N($D103))/N($C103),0))</f>
        <v/>
      </c>
      <c r="N103" s="24">
        <f>IF($A103="","",IFERROR(N($E103)/N($C103),0))</f>
        <v/>
      </c>
      <c r="O103" s="23">
        <f>IF($A103="",0,IFERROR(SUMPRODUCT(($A$8:$A$307=$A103)*($P$8:$P$307="FAIL")*($U$8:$U$307&gt;$V103)*($U$8:$U$307&lt;=$U103)),0))</f>
        <v/>
      </c>
      <c r="P103" s="23">
        <f>IF($A103="","",IFERROR(IF(NOT(ISNUMBER($K103)),"CHECK",IF($L103="MARGIN",IF($N103&lt;=$K103,"PASS","FAIL"),IF($M103&lt;=$K103,"PASS","FAIL"))),"CHECK"))</f>
        <v/>
      </c>
      <c r="Q103" s="23">
        <f>IF($A103="","",IFERROR(INDEX('Ref_Tolerance'!$E$2:$E$9,MATCH($J103,'Ref_Tolerance'!$A$2:$A$9,0)),""))</f>
        <v/>
      </c>
      <c r="R103" s="23">
        <f>IF($A103="","",IFERROR(IF($O103=0,"CLEAR",IF($O103=1,"MFR DUE - MANAGER",IF($O103=2,"MFR DUE - FSS/CC SIGNATURE REQUIRED","INVESTIGATION + REPORT OF SURVEY; MSG/CC NOTIFIED"))),""))</f>
        <v/>
      </c>
      <c r="S103" s="23">
        <f>IF($A103="","",IF($O103=2,"WATCH - ONE MORE MISS TRIGGERS INVESTIGATION",""))</f>
        <v/>
      </c>
      <c r="T103" s="23">
        <f>IF($A103="","",IFERROR(IF(AND($O103&gt;=1,$F103&lt;&gt;"Y"),"MFR NOT SUBMITTED",IF(AND($O103&gt;=2,$G103&lt;&gt;"Y"),"FSS/CC SIGNATURE MISSING",IF(AND($O103&gt;=3,$H103&lt;&gt;"Y"),"INVESTIGATION NOT OPENED",""))),""))</f>
        <v/>
      </c>
      <c r="U103" s="25">
        <f>IF($A103="",0,IFERROR(MATCH($B103,'Ref_Calendar'!$A$2:$A$500,0),0))</f>
        <v/>
      </c>
      <c r="V103" s="25">
        <f>IF($A103="",0,IFERROR(SUMPRODUCT(MAX(($A$8:$A$307=$A103)*($P$8:$P$307="PASS")*($U$8:$U$307&lt;=$U103)*$U$8:$U$307)),0))</f>
        <v/>
      </c>
      <c r="W103" s="25">
        <f>IF($A103="","",IFERROR(INDEX('Ref_Crosswalk'!$E$2:$E$500,MATCH($A103,'Ref_Crosswalk'!$A$2:$A$500,0)),""))</f>
        <v/>
      </c>
      <c r="X103" s="25">
        <f>IF($A103="","",IFERROR(INDEX('Ref_Crosswalk'!$C$2:$C$500,MATCH($A103,'Ref_Crosswalk'!$A$2:$A$500,0)),""))</f>
        <v/>
      </c>
      <c r="Y103" s="25">
        <f>IF($A103="",0,IF(AND(OR('Out_Dashboard'!$C$5="",$W103='Out_Dashboard'!$C$5),OR('Out_Dashboard'!$C$6="",$X103='Out_Dashboard'!$C$6),OR('Out_Dashboard'!$C$7="",$B103='Out_Dashboard'!$C$7)),1,0))</f>
        <v/>
      </c>
      <c r="Z103" s="25">
        <f>IF(AND($A103&lt;&gt;"",$S103&lt;&gt;"",$Y103=1),SUMPRODUCT(($A$8:$A103&lt;&gt;"")*($S$8:$S103&lt;&gt;"")*($Y$8:$Y103=1)),"")</f>
        <v/>
      </c>
      <c r="AA103" s="25">
        <f>IF(AND($A103&lt;&gt;"",$T103&lt;&gt;"",$Y103=1),SUMPRODUCT(($A$8:$A103&lt;&gt;"")*($T$8:$T103&lt;&gt;"")*($Y$8:$Y103=1)),"")</f>
        <v/>
      </c>
    </row>
    <row r="104">
      <c r="A104" s="13" t="n"/>
      <c r="B104" s="13" t="n"/>
      <c r="C104" s="26" t="n"/>
      <c r="D104" s="26" t="n"/>
      <c r="E104" s="26" t="n"/>
      <c r="F104" s="13" t="n"/>
      <c r="G104" s="13" t="n"/>
      <c r="H104" s="13" t="n"/>
      <c r="I104" s="13" t="n"/>
      <c r="J104" s="23">
        <f>IF($A104="","",IFERROR(INDEX('Ref_Crosswalk'!$F$2:$F$500,MATCH($A104,'Ref_Crosswalk'!$A$2:$A$500,0)),"UNKNOWN"))</f>
        <v/>
      </c>
      <c r="K104" s="24">
        <f>IF($A104="","",IFERROR(INDEX('Ref_Tolerance'!$B$2:$B$9,MATCH($J104,'Ref_Tolerance'!$A$2:$A$9,0)),""))</f>
        <v/>
      </c>
      <c r="L104" s="23">
        <f>IF($A104="","",IFERROR(INDEX('Ref_Tolerance'!$D$2:$D$9,MATCH($J104,'Ref_Tolerance'!$A$2:$A$9,0)),""))</f>
        <v/>
      </c>
      <c r="M104" s="24">
        <f>IF($A104="","",IFERROR(ABS(N($D104))/N($C104),0))</f>
        <v/>
      </c>
      <c r="N104" s="24">
        <f>IF($A104="","",IFERROR(N($E104)/N($C104),0))</f>
        <v/>
      </c>
      <c r="O104" s="23">
        <f>IF($A104="",0,IFERROR(SUMPRODUCT(($A$8:$A$307=$A104)*($P$8:$P$307="FAIL")*($U$8:$U$307&gt;$V104)*($U$8:$U$307&lt;=$U104)),0))</f>
        <v/>
      </c>
      <c r="P104" s="23">
        <f>IF($A104="","",IFERROR(IF(NOT(ISNUMBER($K104)),"CHECK",IF($L104="MARGIN",IF($N104&lt;=$K104,"PASS","FAIL"),IF($M104&lt;=$K104,"PASS","FAIL"))),"CHECK"))</f>
        <v/>
      </c>
      <c r="Q104" s="23">
        <f>IF($A104="","",IFERROR(INDEX('Ref_Tolerance'!$E$2:$E$9,MATCH($J104,'Ref_Tolerance'!$A$2:$A$9,0)),""))</f>
        <v/>
      </c>
      <c r="R104" s="23">
        <f>IF($A104="","",IFERROR(IF($O104=0,"CLEAR",IF($O104=1,"MFR DUE - MANAGER",IF($O104=2,"MFR DUE - FSS/CC SIGNATURE REQUIRED","INVESTIGATION + REPORT OF SURVEY; MSG/CC NOTIFIED"))),""))</f>
        <v/>
      </c>
      <c r="S104" s="23">
        <f>IF($A104="","",IF($O104=2,"WATCH - ONE MORE MISS TRIGGERS INVESTIGATION",""))</f>
        <v/>
      </c>
      <c r="T104" s="23">
        <f>IF($A104="","",IFERROR(IF(AND($O104&gt;=1,$F104&lt;&gt;"Y"),"MFR NOT SUBMITTED",IF(AND($O104&gt;=2,$G104&lt;&gt;"Y"),"FSS/CC SIGNATURE MISSING",IF(AND($O104&gt;=3,$H104&lt;&gt;"Y"),"INVESTIGATION NOT OPENED",""))),""))</f>
        <v/>
      </c>
      <c r="U104" s="25">
        <f>IF($A104="",0,IFERROR(MATCH($B104,'Ref_Calendar'!$A$2:$A$500,0),0))</f>
        <v/>
      </c>
      <c r="V104" s="25">
        <f>IF($A104="",0,IFERROR(SUMPRODUCT(MAX(($A$8:$A$307=$A104)*($P$8:$P$307="PASS")*($U$8:$U$307&lt;=$U104)*$U$8:$U$307)),0))</f>
        <v/>
      </c>
      <c r="W104" s="25">
        <f>IF($A104="","",IFERROR(INDEX('Ref_Crosswalk'!$E$2:$E$500,MATCH($A104,'Ref_Crosswalk'!$A$2:$A$500,0)),""))</f>
        <v/>
      </c>
      <c r="X104" s="25">
        <f>IF($A104="","",IFERROR(INDEX('Ref_Crosswalk'!$C$2:$C$500,MATCH($A104,'Ref_Crosswalk'!$A$2:$A$500,0)),""))</f>
        <v/>
      </c>
      <c r="Y104" s="25">
        <f>IF($A104="",0,IF(AND(OR('Out_Dashboard'!$C$5="",$W104='Out_Dashboard'!$C$5),OR('Out_Dashboard'!$C$6="",$X104='Out_Dashboard'!$C$6),OR('Out_Dashboard'!$C$7="",$B104='Out_Dashboard'!$C$7)),1,0))</f>
        <v/>
      </c>
      <c r="Z104" s="25">
        <f>IF(AND($A104&lt;&gt;"",$S104&lt;&gt;"",$Y104=1),SUMPRODUCT(($A$8:$A104&lt;&gt;"")*($S$8:$S104&lt;&gt;"")*($Y$8:$Y104=1)),"")</f>
        <v/>
      </c>
      <c r="AA104" s="25">
        <f>IF(AND($A104&lt;&gt;"",$T104&lt;&gt;"",$Y104=1),SUMPRODUCT(($A$8:$A104&lt;&gt;"")*($T$8:$T104&lt;&gt;"")*($Y$8:$Y104=1)),"")</f>
        <v/>
      </c>
    </row>
    <row r="105">
      <c r="A105" s="13" t="n"/>
      <c r="B105" s="13" t="n"/>
      <c r="C105" s="26" t="n"/>
      <c r="D105" s="26" t="n"/>
      <c r="E105" s="26" t="n"/>
      <c r="F105" s="13" t="n"/>
      <c r="G105" s="13" t="n"/>
      <c r="H105" s="13" t="n"/>
      <c r="I105" s="13" t="n"/>
      <c r="J105" s="23">
        <f>IF($A105="","",IFERROR(INDEX('Ref_Crosswalk'!$F$2:$F$500,MATCH($A105,'Ref_Crosswalk'!$A$2:$A$500,0)),"UNKNOWN"))</f>
        <v/>
      </c>
      <c r="K105" s="24">
        <f>IF($A105="","",IFERROR(INDEX('Ref_Tolerance'!$B$2:$B$9,MATCH($J105,'Ref_Tolerance'!$A$2:$A$9,0)),""))</f>
        <v/>
      </c>
      <c r="L105" s="23">
        <f>IF($A105="","",IFERROR(INDEX('Ref_Tolerance'!$D$2:$D$9,MATCH($J105,'Ref_Tolerance'!$A$2:$A$9,0)),""))</f>
        <v/>
      </c>
      <c r="M105" s="24">
        <f>IF($A105="","",IFERROR(ABS(N($D105))/N($C105),0))</f>
        <v/>
      </c>
      <c r="N105" s="24">
        <f>IF($A105="","",IFERROR(N($E105)/N($C105),0))</f>
        <v/>
      </c>
      <c r="O105" s="23">
        <f>IF($A105="",0,IFERROR(SUMPRODUCT(($A$8:$A$307=$A105)*($P$8:$P$307="FAIL")*($U$8:$U$307&gt;$V105)*($U$8:$U$307&lt;=$U105)),0))</f>
        <v/>
      </c>
      <c r="P105" s="23">
        <f>IF($A105="","",IFERROR(IF(NOT(ISNUMBER($K105)),"CHECK",IF($L105="MARGIN",IF($N105&lt;=$K105,"PASS","FAIL"),IF($M105&lt;=$K105,"PASS","FAIL"))),"CHECK"))</f>
        <v/>
      </c>
      <c r="Q105" s="23">
        <f>IF($A105="","",IFERROR(INDEX('Ref_Tolerance'!$E$2:$E$9,MATCH($J105,'Ref_Tolerance'!$A$2:$A$9,0)),""))</f>
        <v/>
      </c>
      <c r="R105" s="23">
        <f>IF($A105="","",IFERROR(IF($O105=0,"CLEAR",IF($O105=1,"MFR DUE - MANAGER",IF($O105=2,"MFR DUE - FSS/CC SIGNATURE REQUIRED","INVESTIGATION + REPORT OF SURVEY; MSG/CC NOTIFIED"))),""))</f>
        <v/>
      </c>
      <c r="S105" s="23">
        <f>IF($A105="","",IF($O105=2,"WATCH - ONE MORE MISS TRIGGERS INVESTIGATION",""))</f>
        <v/>
      </c>
      <c r="T105" s="23">
        <f>IF($A105="","",IFERROR(IF(AND($O105&gt;=1,$F105&lt;&gt;"Y"),"MFR NOT SUBMITTED",IF(AND($O105&gt;=2,$G105&lt;&gt;"Y"),"FSS/CC SIGNATURE MISSING",IF(AND($O105&gt;=3,$H105&lt;&gt;"Y"),"INVESTIGATION NOT OPENED",""))),""))</f>
        <v/>
      </c>
      <c r="U105" s="25">
        <f>IF($A105="",0,IFERROR(MATCH($B105,'Ref_Calendar'!$A$2:$A$500,0),0))</f>
        <v/>
      </c>
      <c r="V105" s="25">
        <f>IF($A105="",0,IFERROR(SUMPRODUCT(MAX(($A$8:$A$307=$A105)*($P$8:$P$307="PASS")*($U$8:$U$307&lt;=$U105)*$U$8:$U$307)),0))</f>
        <v/>
      </c>
      <c r="W105" s="25">
        <f>IF($A105="","",IFERROR(INDEX('Ref_Crosswalk'!$E$2:$E$500,MATCH($A105,'Ref_Crosswalk'!$A$2:$A$500,0)),""))</f>
        <v/>
      </c>
      <c r="X105" s="25">
        <f>IF($A105="","",IFERROR(INDEX('Ref_Crosswalk'!$C$2:$C$500,MATCH($A105,'Ref_Crosswalk'!$A$2:$A$500,0)),""))</f>
        <v/>
      </c>
      <c r="Y105" s="25">
        <f>IF($A105="",0,IF(AND(OR('Out_Dashboard'!$C$5="",$W105='Out_Dashboard'!$C$5),OR('Out_Dashboard'!$C$6="",$X105='Out_Dashboard'!$C$6),OR('Out_Dashboard'!$C$7="",$B105='Out_Dashboard'!$C$7)),1,0))</f>
        <v/>
      </c>
      <c r="Z105" s="25">
        <f>IF(AND($A105&lt;&gt;"",$S105&lt;&gt;"",$Y105=1),SUMPRODUCT(($A$8:$A105&lt;&gt;"")*($S$8:$S105&lt;&gt;"")*($Y$8:$Y105=1)),"")</f>
        <v/>
      </c>
      <c r="AA105" s="25">
        <f>IF(AND($A105&lt;&gt;"",$T105&lt;&gt;"",$Y105=1),SUMPRODUCT(($A$8:$A105&lt;&gt;"")*($T$8:$T105&lt;&gt;"")*($Y$8:$Y105=1)),"")</f>
        <v/>
      </c>
    </row>
    <row r="106">
      <c r="A106" s="13" t="n"/>
      <c r="B106" s="13" t="n"/>
      <c r="C106" s="26" t="n"/>
      <c r="D106" s="26" t="n"/>
      <c r="E106" s="26" t="n"/>
      <c r="F106" s="13" t="n"/>
      <c r="G106" s="13" t="n"/>
      <c r="H106" s="13" t="n"/>
      <c r="I106" s="13" t="n"/>
      <c r="J106" s="23">
        <f>IF($A106="","",IFERROR(INDEX('Ref_Crosswalk'!$F$2:$F$500,MATCH($A106,'Ref_Crosswalk'!$A$2:$A$500,0)),"UNKNOWN"))</f>
        <v/>
      </c>
      <c r="K106" s="24">
        <f>IF($A106="","",IFERROR(INDEX('Ref_Tolerance'!$B$2:$B$9,MATCH($J106,'Ref_Tolerance'!$A$2:$A$9,0)),""))</f>
        <v/>
      </c>
      <c r="L106" s="23">
        <f>IF($A106="","",IFERROR(INDEX('Ref_Tolerance'!$D$2:$D$9,MATCH($J106,'Ref_Tolerance'!$A$2:$A$9,0)),""))</f>
        <v/>
      </c>
      <c r="M106" s="24">
        <f>IF($A106="","",IFERROR(ABS(N($D106))/N($C106),0))</f>
        <v/>
      </c>
      <c r="N106" s="24">
        <f>IF($A106="","",IFERROR(N($E106)/N($C106),0))</f>
        <v/>
      </c>
      <c r="O106" s="23">
        <f>IF($A106="",0,IFERROR(SUMPRODUCT(($A$8:$A$307=$A106)*($P$8:$P$307="FAIL")*($U$8:$U$307&gt;$V106)*($U$8:$U$307&lt;=$U106)),0))</f>
        <v/>
      </c>
      <c r="P106" s="23">
        <f>IF($A106="","",IFERROR(IF(NOT(ISNUMBER($K106)),"CHECK",IF($L106="MARGIN",IF($N106&lt;=$K106,"PASS","FAIL"),IF($M106&lt;=$K106,"PASS","FAIL"))),"CHECK"))</f>
        <v/>
      </c>
      <c r="Q106" s="23">
        <f>IF($A106="","",IFERROR(INDEX('Ref_Tolerance'!$E$2:$E$9,MATCH($J106,'Ref_Tolerance'!$A$2:$A$9,0)),""))</f>
        <v/>
      </c>
      <c r="R106" s="23">
        <f>IF($A106="","",IFERROR(IF($O106=0,"CLEAR",IF($O106=1,"MFR DUE - MANAGER",IF($O106=2,"MFR DUE - FSS/CC SIGNATURE REQUIRED","INVESTIGATION + REPORT OF SURVEY; MSG/CC NOTIFIED"))),""))</f>
        <v/>
      </c>
      <c r="S106" s="23">
        <f>IF($A106="","",IF($O106=2,"WATCH - ONE MORE MISS TRIGGERS INVESTIGATION",""))</f>
        <v/>
      </c>
      <c r="T106" s="23">
        <f>IF($A106="","",IFERROR(IF(AND($O106&gt;=1,$F106&lt;&gt;"Y"),"MFR NOT SUBMITTED",IF(AND($O106&gt;=2,$G106&lt;&gt;"Y"),"FSS/CC SIGNATURE MISSING",IF(AND($O106&gt;=3,$H106&lt;&gt;"Y"),"INVESTIGATION NOT OPENED",""))),""))</f>
        <v/>
      </c>
      <c r="U106" s="25">
        <f>IF($A106="",0,IFERROR(MATCH($B106,'Ref_Calendar'!$A$2:$A$500,0),0))</f>
        <v/>
      </c>
      <c r="V106" s="25">
        <f>IF($A106="",0,IFERROR(SUMPRODUCT(MAX(($A$8:$A$307=$A106)*($P$8:$P$307="PASS")*($U$8:$U$307&lt;=$U106)*$U$8:$U$307)),0))</f>
        <v/>
      </c>
      <c r="W106" s="25">
        <f>IF($A106="","",IFERROR(INDEX('Ref_Crosswalk'!$E$2:$E$500,MATCH($A106,'Ref_Crosswalk'!$A$2:$A$500,0)),""))</f>
        <v/>
      </c>
      <c r="X106" s="25">
        <f>IF($A106="","",IFERROR(INDEX('Ref_Crosswalk'!$C$2:$C$500,MATCH($A106,'Ref_Crosswalk'!$A$2:$A$500,0)),""))</f>
        <v/>
      </c>
      <c r="Y106" s="25">
        <f>IF($A106="",0,IF(AND(OR('Out_Dashboard'!$C$5="",$W106='Out_Dashboard'!$C$5),OR('Out_Dashboard'!$C$6="",$X106='Out_Dashboard'!$C$6),OR('Out_Dashboard'!$C$7="",$B106='Out_Dashboard'!$C$7)),1,0))</f>
        <v/>
      </c>
      <c r="Z106" s="25">
        <f>IF(AND($A106&lt;&gt;"",$S106&lt;&gt;"",$Y106=1),SUMPRODUCT(($A$8:$A106&lt;&gt;"")*($S$8:$S106&lt;&gt;"")*($Y$8:$Y106=1)),"")</f>
        <v/>
      </c>
      <c r="AA106" s="25">
        <f>IF(AND($A106&lt;&gt;"",$T106&lt;&gt;"",$Y106=1),SUMPRODUCT(($A$8:$A106&lt;&gt;"")*($T$8:$T106&lt;&gt;"")*($Y$8:$Y106=1)),"")</f>
        <v/>
      </c>
    </row>
    <row r="107">
      <c r="A107" s="13" t="n"/>
      <c r="B107" s="13" t="n"/>
      <c r="C107" s="26" t="n"/>
      <c r="D107" s="26" t="n"/>
      <c r="E107" s="26" t="n"/>
      <c r="F107" s="13" t="n"/>
      <c r="G107" s="13" t="n"/>
      <c r="H107" s="13" t="n"/>
      <c r="I107" s="13" t="n"/>
      <c r="J107" s="23">
        <f>IF($A107="","",IFERROR(INDEX('Ref_Crosswalk'!$F$2:$F$500,MATCH($A107,'Ref_Crosswalk'!$A$2:$A$500,0)),"UNKNOWN"))</f>
        <v/>
      </c>
      <c r="K107" s="24">
        <f>IF($A107="","",IFERROR(INDEX('Ref_Tolerance'!$B$2:$B$9,MATCH($J107,'Ref_Tolerance'!$A$2:$A$9,0)),""))</f>
        <v/>
      </c>
      <c r="L107" s="23">
        <f>IF($A107="","",IFERROR(INDEX('Ref_Tolerance'!$D$2:$D$9,MATCH($J107,'Ref_Tolerance'!$A$2:$A$9,0)),""))</f>
        <v/>
      </c>
      <c r="M107" s="24">
        <f>IF($A107="","",IFERROR(ABS(N($D107))/N($C107),0))</f>
        <v/>
      </c>
      <c r="N107" s="24">
        <f>IF($A107="","",IFERROR(N($E107)/N($C107),0))</f>
        <v/>
      </c>
      <c r="O107" s="23">
        <f>IF($A107="",0,IFERROR(SUMPRODUCT(($A$8:$A$307=$A107)*($P$8:$P$307="FAIL")*($U$8:$U$307&gt;$V107)*($U$8:$U$307&lt;=$U107)),0))</f>
        <v/>
      </c>
      <c r="P107" s="23">
        <f>IF($A107="","",IFERROR(IF(NOT(ISNUMBER($K107)),"CHECK",IF($L107="MARGIN",IF($N107&lt;=$K107,"PASS","FAIL"),IF($M107&lt;=$K107,"PASS","FAIL"))),"CHECK"))</f>
        <v/>
      </c>
      <c r="Q107" s="23">
        <f>IF($A107="","",IFERROR(INDEX('Ref_Tolerance'!$E$2:$E$9,MATCH($J107,'Ref_Tolerance'!$A$2:$A$9,0)),""))</f>
        <v/>
      </c>
      <c r="R107" s="23">
        <f>IF($A107="","",IFERROR(IF($O107=0,"CLEAR",IF($O107=1,"MFR DUE - MANAGER",IF($O107=2,"MFR DUE - FSS/CC SIGNATURE REQUIRED","INVESTIGATION + REPORT OF SURVEY; MSG/CC NOTIFIED"))),""))</f>
        <v/>
      </c>
      <c r="S107" s="23">
        <f>IF($A107="","",IF($O107=2,"WATCH - ONE MORE MISS TRIGGERS INVESTIGATION",""))</f>
        <v/>
      </c>
      <c r="T107" s="23">
        <f>IF($A107="","",IFERROR(IF(AND($O107&gt;=1,$F107&lt;&gt;"Y"),"MFR NOT SUBMITTED",IF(AND($O107&gt;=2,$G107&lt;&gt;"Y"),"FSS/CC SIGNATURE MISSING",IF(AND($O107&gt;=3,$H107&lt;&gt;"Y"),"INVESTIGATION NOT OPENED",""))),""))</f>
        <v/>
      </c>
      <c r="U107" s="25">
        <f>IF($A107="",0,IFERROR(MATCH($B107,'Ref_Calendar'!$A$2:$A$500,0),0))</f>
        <v/>
      </c>
      <c r="V107" s="25">
        <f>IF($A107="",0,IFERROR(SUMPRODUCT(MAX(($A$8:$A$307=$A107)*($P$8:$P$307="PASS")*($U$8:$U$307&lt;=$U107)*$U$8:$U$307)),0))</f>
        <v/>
      </c>
      <c r="W107" s="25">
        <f>IF($A107="","",IFERROR(INDEX('Ref_Crosswalk'!$E$2:$E$500,MATCH($A107,'Ref_Crosswalk'!$A$2:$A$500,0)),""))</f>
        <v/>
      </c>
      <c r="X107" s="25">
        <f>IF($A107="","",IFERROR(INDEX('Ref_Crosswalk'!$C$2:$C$500,MATCH($A107,'Ref_Crosswalk'!$A$2:$A$500,0)),""))</f>
        <v/>
      </c>
      <c r="Y107" s="25">
        <f>IF($A107="",0,IF(AND(OR('Out_Dashboard'!$C$5="",$W107='Out_Dashboard'!$C$5),OR('Out_Dashboard'!$C$6="",$X107='Out_Dashboard'!$C$6),OR('Out_Dashboard'!$C$7="",$B107='Out_Dashboard'!$C$7)),1,0))</f>
        <v/>
      </c>
      <c r="Z107" s="25">
        <f>IF(AND($A107&lt;&gt;"",$S107&lt;&gt;"",$Y107=1),SUMPRODUCT(($A$8:$A107&lt;&gt;"")*($S$8:$S107&lt;&gt;"")*($Y$8:$Y107=1)),"")</f>
        <v/>
      </c>
      <c r="AA107" s="25">
        <f>IF(AND($A107&lt;&gt;"",$T107&lt;&gt;"",$Y107=1),SUMPRODUCT(($A$8:$A107&lt;&gt;"")*($T$8:$T107&lt;&gt;"")*($Y$8:$Y107=1)),"")</f>
        <v/>
      </c>
    </row>
    <row r="108">
      <c r="A108" s="13" t="n"/>
      <c r="B108" s="13" t="n"/>
      <c r="C108" s="26" t="n"/>
      <c r="D108" s="26" t="n"/>
      <c r="E108" s="26" t="n"/>
      <c r="F108" s="13" t="n"/>
      <c r="G108" s="13" t="n"/>
      <c r="H108" s="13" t="n"/>
      <c r="I108" s="13" t="n"/>
      <c r="J108" s="23">
        <f>IF($A108="","",IFERROR(INDEX('Ref_Crosswalk'!$F$2:$F$500,MATCH($A108,'Ref_Crosswalk'!$A$2:$A$500,0)),"UNKNOWN"))</f>
        <v/>
      </c>
      <c r="K108" s="24">
        <f>IF($A108="","",IFERROR(INDEX('Ref_Tolerance'!$B$2:$B$9,MATCH($J108,'Ref_Tolerance'!$A$2:$A$9,0)),""))</f>
        <v/>
      </c>
      <c r="L108" s="23">
        <f>IF($A108="","",IFERROR(INDEX('Ref_Tolerance'!$D$2:$D$9,MATCH($J108,'Ref_Tolerance'!$A$2:$A$9,0)),""))</f>
        <v/>
      </c>
      <c r="M108" s="24">
        <f>IF($A108="","",IFERROR(ABS(N($D108))/N($C108),0))</f>
        <v/>
      </c>
      <c r="N108" s="24">
        <f>IF($A108="","",IFERROR(N($E108)/N($C108),0))</f>
        <v/>
      </c>
      <c r="O108" s="23">
        <f>IF($A108="",0,IFERROR(SUMPRODUCT(($A$8:$A$307=$A108)*($P$8:$P$307="FAIL")*($U$8:$U$307&gt;$V108)*($U$8:$U$307&lt;=$U108)),0))</f>
        <v/>
      </c>
      <c r="P108" s="23">
        <f>IF($A108="","",IFERROR(IF(NOT(ISNUMBER($K108)),"CHECK",IF($L108="MARGIN",IF($N108&lt;=$K108,"PASS","FAIL"),IF($M108&lt;=$K108,"PASS","FAIL"))),"CHECK"))</f>
        <v/>
      </c>
      <c r="Q108" s="23">
        <f>IF($A108="","",IFERROR(INDEX('Ref_Tolerance'!$E$2:$E$9,MATCH($J108,'Ref_Tolerance'!$A$2:$A$9,0)),""))</f>
        <v/>
      </c>
      <c r="R108" s="23">
        <f>IF($A108="","",IFERROR(IF($O108=0,"CLEAR",IF($O108=1,"MFR DUE - MANAGER",IF($O108=2,"MFR DUE - FSS/CC SIGNATURE REQUIRED","INVESTIGATION + REPORT OF SURVEY; MSG/CC NOTIFIED"))),""))</f>
        <v/>
      </c>
      <c r="S108" s="23">
        <f>IF($A108="","",IF($O108=2,"WATCH - ONE MORE MISS TRIGGERS INVESTIGATION",""))</f>
        <v/>
      </c>
      <c r="T108" s="23">
        <f>IF($A108="","",IFERROR(IF(AND($O108&gt;=1,$F108&lt;&gt;"Y"),"MFR NOT SUBMITTED",IF(AND($O108&gt;=2,$G108&lt;&gt;"Y"),"FSS/CC SIGNATURE MISSING",IF(AND($O108&gt;=3,$H108&lt;&gt;"Y"),"INVESTIGATION NOT OPENED",""))),""))</f>
        <v/>
      </c>
      <c r="U108" s="25">
        <f>IF($A108="",0,IFERROR(MATCH($B108,'Ref_Calendar'!$A$2:$A$500,0),0))</f>
        <v/>
      </c>
      <c r="V108" s="25">
        <f>IF($A108="",0,IFERROR(SUMPRODUCT(MAX(($A$8:$A$307=$A108)*($P$8:$P$307="PASS")*($U$8:$U$307&lt;=$U108)*$U$8:$U$307)),0))</f>
        <v/>
      </c>
      <c r="W108" s="25">
        <f>IF($A108="","",IFERROR(INDEX('Ref_Crosswalk'!$E$2:$E$500,MATCH($A108,'Ref_Crosswalk'!$A$2:$A$500,0)),""))</f>
        <v/>
      </c>
      <c r="X108" s="25">
        <f>IF($A108="","",IFERROR(INDEX('Ref_Crosswalk'!$C$2:$C$500,MATCH($A108,'Ref_Crosswalk'!$A$2:$A$500,0)),""))</f>
        <v/>
      </c>
      <c r="Y108" s="25">
        <f>IF($A108="",0,IF(AND(OR('Out_Dashboard'!$C$5="",$W108='Out_Dashboard'!$C$5),OR('Out_Dashboard'!$C$6="",$X108='Out_Dashboard'!$C$6),OR('Out_Dashboard'!$C$7="",$B108='Out_Dashboard'!$C$7)),1,0))</f>
        <v/>
      </c>
      <c r="Z108" s="25">
        <f>IF(AND($A108&lt;&gt;"",$S108&lt;&gt;"",$Y108=1),SUMPRODUCT(($A$8:$A108&lt;&gt;"")*($S$8:$S108&lt;&gt;"")*($Y$8:$Y108=1)),"")</f>
        <v/>
      </c>
      <c r="AA108" s="25">
        <f>IF(AND($A108&lt;&gt;"",$T108&lt;&gt;"",$Y108=1),SUMPRODUCT(($A$8:$A108&lt;&gt;"")*($T$8:$T108&lt;&gt;"")*($Y$8:$Y108=1)),"")</f>
        <v/>
      </c>
    </row>
    <row r="109">
      <c r="A109" s="13" t="n"/>
      <c r="B109" s="13" t="n"/>
      <c r="C109" s="26" t="n"/>
      <c r="D109" s="26" t="n"/>
      <c r="E109" s="26" t="n"/>
      <c r="F109" s="13" t="n"/>
      <c r="G109" s="13" t="n"/>
      <c r="H109" s="13" t="n"/>
      <c r="I109" s="13" t="n"/>
      <c r="J109" s="23">
        <f>IF($A109="","",IFERROR(INDEX('Ref_Crosswalk'!$F$2:$F$500,MATCH($A109,'Ref_Crosswalk'!$A$2:$A$500,0)),"UNKNOWN"))</f>
        <v/>
      </c>
      <c r="K109" s="24">
        <f>IF($A109="","",IFERROR(INDEX('Ref_Tolerance'!$B$2:$B$9,MATCH($J109,'Ref_Tolerance'!$A$2:$A$9,0)),""))</f>
        <v/>
      </c>
      <c r="L109" s="23">
        <f>IF($A109="","",IFERROR(INDEX('Ref_Tolerance'!$D$2:$D$9,MATCH($J109,'Ref_Tolerance'!$A$2:$A$9,0)),""))</f>
        <v/>
      </c>
      <c r="M109" s="24">
        <f>IF($A109="","",IFERROR(ABS(N($D109))/N($C109),0))</f>
        <v/>
      </c>
      <c r="N109" s="24">
        <f>IF($A109="","",IFERROR(N($E109)/N($C109),0))</f>
        <v/>
      </c>
      <c r="O109" s="23">
        <f>IF($A109="",0,IFERROR(SUMPRODUCT(($A$8:$A$307=$A109)*($P$8:$P$307="FAIL")*($U$8:$U$307&gt;$V109)*($U$8:$U$307&lt;=$U109)),0))</f>
        <v/>
      </c>
      <c r="P109" s="23">
        <f>IF($A109="","",IFERROR(IF(NOT(ISNUMBER($K109)),"CHECK",IF($L109="MARGIN",IF($N109&lt;=$K109,"PASS","FAIL"),IF($M109&lt;=$K109,"PASS","FAIL"))),"CHECK"))</f>
        <v/>
      </c>
      <c r="Q109" s="23">
        <f>IF($A109="","",IFERROR(INDEX('Ref_Tolerance'!$E$2:$E$9,MATCH($J109,'Ref_Tolerance'!$A$2:$A$9,0)),""))</f>
        <v/>
      </c>
      <c r="R109" s="23">
        <f>IF($A109="","",IFERROR(IF($O109=0,"CLEAR",IF($O109=1,"MFR DUE - MANAGER",IF($O109=2,"MFR DUE - FSS/CC SIGNATURE REQUIRED","INVESTIGATION + REPORT OF SURVEY; MSG/CC NOTIFIED"))),""))</f>
        <v/>
      </c>
      <c r="S109" s="23">
        <f>IF($A109="","",IF($O109=2,"WATCH - ONE MORE MISS TRIGGERS INVESTIGATION",""))</f>
        <v/>
      </c>
      <c r="T109" s="23">
        <f>IF($A109="","",IFERROR(IF(AND($O109&gt;=1,$F109&lt;&gt;"Y"),"MFR NOT SUBMITTED",IF(AND($O109&gt;=2,$G109&lt;&gt;"Y"),"FSS/CC SIGNATURE MISSING",IF(AND($O109&gt;=3,$H109&lt;&gt;"Y"),"INVESTIGATION NOT OPENED",""))),""))</f>
        <v/>
      </c>
      <c r="U109" s="25">
        <f>IF($A109="",0,IFERROR(MATCH($B109,'Ref_Calendar'!$A$2:$A$500,0),0))</f>
        <v/>
      </c>
      <c r="V109" s="25">
        <f>IF($A109="",0,IFERROR(SUMPRODUCT(MAX(($A$8:$A$307=$A109)*($P$8:$P$307="PASS")*($U$8:$U$307&lt;=$U109)*$U$8:$U$307)),0))</f>
        <v/>
      </c>
      <c r="W109" s="25">
        <f>IF($A109="","",IFERROR(INDEX('Ref_Crosswalk'!$E$2:$E$500,MATCH($A109,'Ref_Crosswalk'!$A$2:$A$500,0)),""))</f>
        <v/>
      </c>
      <c r="X109" s="25">
        <f>IF($A109="","",IFERROR(INDEX('Ref_Crosswalk'!$C$2:$C$500,MATCH($A109,'Ref_Crosswalk'!$A$2:$A$500,0)),""))</f>
        <v/>
      </c>
      <c r="Y109" s="25">
        <f>IF($A109="",0,IF(AND(OR('Out_Dashboard'!$C$5="",$W109='Out_Dashboard'!$C$5),OR('Out_Dashboard'!$C$6="",$X109='Out_Dashboard'!$C$6),OR('Out_Dashboard'!$C$7="",$B109='Out_Dashboard'!$C$7)),1,0))</f>
        <v/>
      </c>
      <c r="Z109" s="25">
        <f>IF(AND($A109&lt;&gt;"",$S109&lt;&gt;"",$Y109=1),SUMPRODUCT(($A$8:$A109&lt;&gt;"")*($S$8:$S109&lt;&gt;"")*($Y$8:$Y109=1)),"")</f>
        <v/>
      </c>
      <c r="AA109" s="25">
        <f>IF(AND($A109&lt;&gt;"",$T109&lt;&gt;"",$Y109=1),SUMPRODUCT(($A$8:$A109&lt;&gt;"")*($T$8:$T109&lt;&gt;"")*($Y$8:$Y109=1)),"")</f>
        <v/>
      </c>
    </row>
    <row r="110">
      <c r="A110" s="13" t="n"/>
      <c r="B110" s="13" t="n"/>
      <c r="C110" s="26" t="n"/>
      <c r="D110" s="26" t="n"/>
      <c r="E110" s="26" t="n"/>
      <c r="F110" s="13" t="n"/>
      <c r="G110" s="13" t="n"/>
      <c r="H110" s="13" t="n"/>
      <c r="I110" s="13" t="n"/>
      <c r="J110" s="23">
        <f>IF($A110="","",IFERROR(INDEX('Ref_Crosswalk'!$F$2:$F$500,MATCH($A110,'Ref_Crosswalk'!$A$2:$A$500,0)),"UNKNOWN"))</f>
        <v/>
      </c>
      <c r="K110" s="24">
        <f>IF($A110="","",IFERROR(INDEX('Ref_Tolerance'!$B$2:$B$9,MATCH($J110,'Ref_Tolerance'!$A$2:$A$9,0)),""))</f>
        <v/>
      </c>
      <c r="L110" s="23">
        <f>IF($A110="","",IFERROR(INDEX('Ref_Tolerance'!$D$2:$D$9,MATCH($J110,'Ref_Tolerance'!$A$2:$A$9,0)),""))</f>
        <v/>
      </c>
      <c r="M110" s="24">
        <f>IF($A110="","",IFERROR(ABS(N($D110))/N($C110),0))</f>
        <v/>
      </c>
      <c r="N110" s="24">
        <f>IF($A110="","",IFERROR(N($E110)/N($C110),0))</f>
        <v/>
      </c>
      <c r="O110" s="23">
        <f>IF($A110="",0,IFERROR(SUMPRODUCT(($A$8:$A$307=$A110)*($P$8:$P$307="FAIL")*($U$8:$U$307&gt;$V110)*($U$8:$U$307&lt;=$U110)),0))</f>
        <v/>
      </c>
      <c r="P110" s="23">
        <f>IF($A110="","",IFERROR(IF(NOT(ISNUMBER($K110)),"CHECK",IF($L110="MARGIN",IF($N110&lt;=$K110,"PASS","FAIL"),IF($M110&lt;=$K110,"PASS","FAIL"))),"CHECK"))</f>
        <v/>
      </c>
      <c r="Q110" s="23">
        <f>IF($A110="","",IFERROR(INDEX('Ref_Tolerance'!$E$2:$E$9,MATCH($J110,'Ref_Tolerance'!$A$2:$A$9,0)),""))</f>
        <v/>
      </c>
      <c r="R110" s="23">
        <f>IF($A110="","",IFERROR(IF($O110=0,"CLEAR",IF($O110=1,"MFR DUE - MANAGER",IF($O110=2,"MFR DUE - FSS/CC SIGNATURE REQUIRED","INVESTIGATION + REPORT OF SURVEY; MSG/CC NOTIFIED"))),""))</f>
        <v/>
      </c>
      <c r="S110" s="23">
        <f>IF($A110="","",IF($O110=2,"WATCH - ONE MORE MISS TRIGGERS INVESTIGATION",""))</f>
        <v/>
      </c>
      <c r="T110" s="23">
        <f>IF($A110="","",IFERROR(IF(AND($O110&gt;=1,$F110&lt;&gt;"Y"),"MFR NOT SUBMITTED",IF(AND($O110&gt;=2,$G110&lt;&gt;"Y"),"FSS/CC SIGNATURE MISSING",IF(AND($O110&gt;=3,$H110&lt;&gt;"Y"),"INVESTIGATION NOT OPENED",""))),""))</f>
        <v/>
      </c>
      <c r="U110" s="25">
        <f>IF($A110="",0,IFERROR(MATCH($B110,'Ref_Calendar'!$A$2:$A$500,0),0))</f>
        <v/>
      </c>
      <c r="V110" s="25">
        <f>IF($A110="",0,IFERROR(SUMPRODUCT(MAX(($A$8:$A$307=$A110)*($P$8:$P$307="PASS")*($U$8:$U$307&lt;=$U110)*$U$8:$U$307)),0))</f>
        <v/>
      </c>
      <c r="W110" s="25">
        <f>IF($A110="","",IFERROR(INDEX('Ref_Crosswalk'!$E$2:$E$500,MATCH($A110,'Ref_Crosswalk'!$A$2:$A$500,0)),""))</f>
        <v/>
      </c>
      <c r="X110" s="25">
        <f>IF($A110="","",IFERROR(INDEX('Ref_Crosswalk'!$C$2:$C$500,MATCH($A110,'Ref_Crosswalk'!$A$2:$A$500,0)),""))</f>
        <v/>
      </c>
      <c r="Y110" s="25">
        <f>IF($A110="",0,IF(AND(OR('Out_Dashboard'!$C$5="",$W110='Out_Dashboard'!$C$5),OR('Out_Dashboard'!$C$6="",$X110='Out_Dashboard'!$C$6),OR('Out_Dashboard'!$C$7="",$B110='Out_Dashboard'!$C$7)),1,0))</f>
        <v/>
      </c>
      <c r="Z110" s="25">
        <f>IF(AND($A110&lt;&gt;"",$S110&lt;&gt;"",$Y110=1),SUMPRODUCT(($A$8:$A110&lt;&gt;"")*($S$8:$S110&lt;&gt;"")*($Y$8:$Y110=1)),"")</f>
        <v/>
      </c>
      <c r="AA110" s="25">
        <f>IF(AND($A110&lt;&gt;"",$T110&lt;&gt;"",$Y110=1),SUMPRODUCT(($A$8:$A110&lt;&gt;"")*($T$8:$T110&lt;&gt;"")*($Y$8:$Y110=1)),"")</f>
        <v/>
      </c>
    </row>
    <row r="111">
      <c r="A111" s="13" t="n"/>
      <c r="B111" s="13" t="n"/>
      <c r="C111" s="26" t="n"/>
      <c r="D111" s="26" t="n"/>
      <c r="E111" s="26" t="n"/>
      <c r="F111" s="13" t="n"/>
      <c r="G111" s="13" t="n"/>
      <c r="H111" s="13" t="n"/>
      <c r="I111" s="13" t="n"/>
      <c r="J111" s="23">
        <f>IF($A111="","",IFERROR(INDEX('Ref_Crosswalk'!$F$2:$F$500,MATCH($A111,'Ref_Crosswalk'!$A$2:$A$500,0)),"UNKNOWN"))</f>
        <v/>
      </c>
      <c r="K111" s="24">
        <f>IF($A111="","",IFERROR(INDEX('Ref_Tolerance'!$B$2:$B$9,MATCH($J111,'Ref_Tolerance'!$A$2:$A$9,0)),""))</f>
        <v/>
      </c>
      <c r="L111" s="23">
        <f>IF($A111="","",IFERROR(INDEX('Ref_Tolerance'!$D$2:$D$9,MATCH($J111,'Ref_Tolerance'!$A$2:$A$9,0)),""))</f>
        <v/>
      </c>
      <c r="M111" s="24">
        <f>IF($A111="","",IFERROR(ABS(N($D111))/N($C111),0))</f>
        <v/>
      </c>
      <c r="N111" s="24">
        <f>IF($A111="","",IFERROR(N($E111)/N($C111),0))</f>
        <v/>
      </c>
      <c r="O111" s="23">
        <f>IF($A111="",0,IFERROR(SUMPRODUCT(($A$8:$A$307=$A111)*($P$8:$P$307="FAIL")*($U$8:$U$307&gt;$V111)*($U$8:$U$307&lt;=$U111)),0))</f>
        <v/>
      </c>
      <c r="P111" s="23">
        <f>IF($A111="","",IFERROR(IF(NOT(ISNUMBER($K111)),"CHECK",IF($L111="MARGIN",IF($N111&lt;=$K111,"PASS","FAIL"),IF($M111&lt;=$K111,"PASS","FAIL"))),"CHECK"))</f>
        <v/>
      </c>
      <c r="Q111" s="23">
        <f>IF($A111="","",IFERROR(INDEX('Ref_Tolerance'!$E$2:$E$9,MATCH($J111,'Ref_Tolerance'!$A$2:$A$9,0)),""))</f>
        <v/>
      </c>
      <c r="R111" s="23">
        <f>IF($A111="","",IFERROR(IF($O111=0,"CLEAR",IF($O111=1,"MFR DUE - MANAGER",IF($O111=2,"MFR DUE - FSS/CC SIGNATURE REQUIRED","INVESTIGATION + REPORT OF SURVEY; MSG/CC NOTIFIED"))),""))</f>
        <v/>
      </c>
      <c r="S111" s="23">
        <f>IF($A111="","",IF($O111=2,"WATCH - ONE MORE MISS TRIGGERS INVESTIGATION",""))</f>
        <v/>
      </c>
      <c r="T111" s="23">
        <f>IF($A111="","",IFERROR(IF(AND($O111&gt;=1,$F111&lt;&gt;"Y"),"MFR NOT SUBMITTED",IF(AND($O111&gt;=2,$G111&lt;&gt;"Y"),"FSS/CC SIGNATURE MISSING",IF(AND($O111&gt;=3,$H111&lt;&gt;"Y"),"INVESTIGATION NOT OPENED",""))),""))</f>
        <v/>
      </c>
      <c r="U111" s="25">
        <f>IF($A111="",0,IFERROR(MATCH($B111,'Ref_Calendar'!$A$2:$A$500,0),0))</f>
        <v/>
      </c>
      <c r="V111" s="25">
        <f>IF($A111="",0,IFERROR(SUMPRODUCT(MAX(($A$8:$A$307=$A111)*($P$8:$P$307="PASS")*($U$8:$U$307&lt;=$U111)*$U$8:$U$307)),0))</f>
        <v/>
      </c>
      <c r="W111" s="25">
        <f>IF($A111="","",IFERROR(INDEX('Ref_Crosswalk'!$E$2:$E$500,MATCH($A111,'Ref_Crosswalk'!$A$2:$A$500,0)),""))</f>
        <v/>
      </c>
      <c r="X111" s="25">
        <f>IF($A111="","",IFERROR(INDEX('Ref_Crosswalk'!$C$2:$C$500,MATCH($A111,'Ref_Crosswalk'!$A$2:$A$500,0)),""))</f>
        <v/>
      </c>
      <c r="Y111" s="25">
        <f>IF($A111="",0,IF(AND(OR('Out_Dashboard'!$C$5="",$W111='Out_Dashboard'!$C$5),OR('Out_Dashboard'!$C$6="",$X111='Out_Dashboard'!$C$6),OR('Out_Dashboard'!$C$7="",$B111='Out_Dashboard'!$C$7)),1,0))</f>
        <v/>
      </c>
      <c r="Z111" s="25">
        <f>IF(AND($A111&lt;&gt;"",$S111&lt;&gt;"",$Y111=1),SUMPRODUCT(($A$8:$A111&lt;&gt;"")*($S$8:$S111&lt;&gt;"")*($Y$8:$Y111=1)),"")</f>
        <v/>
      </c>
      <c r="AA111" s="25">
        <f>IF(AND($A111&lt;&gt;"",$T111&lt;&gt;"",$Y111=1),SUMPRODUCT(($A$8:$A111&lt;&gt;"")*($T$8:$T111&lt;&gt;"")*($Y$8:$Y111=1)),"")</f>
        <v/>
      </c>
    </row>
    <row r="112">
      <c r="A112" s="13" t="n"/>
      <c r="B112" s="13" t="n"/>
      <c r="C112" s="26" t="n"/>
      <c r="D112" s="26" t="n"/>
      <c r="E112" s="26" t="n"/>
      <c r="F112" s="13" t="n"/>
      <c r="G112" s="13" t="n"/>
      <c r="H112" s="13" t="n"/>
      <c r="I112" s="13" t="n"/>
      <c r="J112" s="23">
        <f>IF($A112="","",IFERROR(INDEX('Ref_Crosswalk'!$F$2:$F$500,MATCH($A112,'Ref_Crosswalk'!$A$2:$A$500,0)),"UNKNOWN"))</f>
        <v/>
      </c>
      <c r="K112" s="24">
        <f>IF($A112="","",IFERROR(INDEX('Ref_Tolerance'!$B$2:$B$9,MATCH($J112,'Ref_Tolerance'!$A$2:$A$9,0)),""))</f>
        <v/>
      </c>
      <c r="L112" s="23">
        <f>IF($A112="","",IFERROR(INDEX('Ref_Tolerance'!$D$2:$D$9,MATCH($J112,'Ref_Tolerance'!$A$2:$A$9,0)),""))</f>
        <v/>
      </c>
      <c r="M112" s="24">
        <f>IF($A112="","",IFERROR(ABS(N($D112))/N($C112),0))</f>
        <v/>
      </c>
      <c r="N112" s="24">
        <f>IF($A112="","",IFERROR(N($E112)/N($C112),0))</f>
        <v/>
      </c>
      <c r="O112" s="23">
        <f>IF($A112="",0,IFERROR(SUMPRODUCT(($A$8:$A$307=$A112)*($P$8:$P$307="FAIL")*($U$8:$U$307&gt;$V112)*($U$8:$U$307&lt;=$U112)),0))</f>
        <v/>
      </c>
      <c r="P112" s="23">
        <f>IF($A112="","",IFERROR(IF(NOT(ISNUMBER($K112)),"CHECK",IF($L112="MARGIN",IF($N112&lt;=$K112,"PASS","FAIL"),IF($M112&lt;=$K112,"PASS","FAIL"))),"CHECK"))</f>
        <v/>
      </c>
      <c r="Q112" s="23">
        <f>IF($A112="","",IFERROR(INDEX('Ref_Tolerance'!$E$2:$E$9,MATCH($J112,'Ref_Tolerance'!$A$2:$A$9,0)),""))</f>
        <v/>
      </c>
      <c r="R112" s="23">
        <f>IF($A112="","",IFERROR(IF($O112=0,"CLEAR",IF($O112=1,"MFR DUE - MANAGER",IF($O112=2,"MFR DUE - FSS/CC SIGNATURE REQUIRED","INVESTIGATION + REPORT OF SURVEY; MSG/CC NOTIFIED"))),""))</f>
        <v/>
      </c>
      <c r="S112" s="23">
        <f>IF($A112="","",IF($O112=2,"WATCH - ONE MORE MISS TRIGGERS INVESTIGATION",""))</f>
        <v/>
      </c>
      <c r="T112" s="23">
        <f>IF($A112="","",IFERROR(IF(AND($O112&gt;=1,$F112&lt;&gt;"Y"),"MFR NOT SUBMITTED",IF(AND($O112&gt;=2,$G112&lt;&gt;"Y"),"FSS/CC SIGNATURE MISSING",IF(AND($O112&gt;=3,$H112&lt;&gt;"Y"),"INVESTIGATION NOT OPENED",""))),""))</f>
        <v/>
      </c>
      <c r="U112" s="25">
        <f>IF($A112="",0,IFERROR(MATCH($B112,'Ref_Calendar'!$A$2:$A$500,0),0))</f>
        <v/>
      </c>
      <c r="V112" s="25">
        <f>IF($A112="",0,IFERROR(SUMPRODUCT(MAX(($A$8:$A$307=$A112)*($P$8:$P$307="PASS")*($U$8:$U$307&lt;=$U112)*$U$8:$U$307)),0))</f>
        <v/>
      </c>
      <c r="W112" s="25">
        <f>IF($A112="","",IFERROR(INDEX('Ref_Crosswalk'!$E$2:$E$500,MATCH($A112,'Ref_Crosswalk'!$A$2:$A$500,0)),""))</f>
        <v/>
      </c>
      <c r="X112" s="25">
        <f>IF($A112="","",IFERROR(INDEX('Ref_Crosswalk'!$C$2:$C$500,MATCH($A112,'Ref_Crosswalk'!$A$2:$A$500,0)),""))</f>
        <v/>
      </c>
      <c r="Y112" s="25">
        <f>IF($A112="",0,IF(AND(OR('Out_Dashboard'!$C$5="",$W112='Out_Dashboard'!$C$5),OR('Out_Dashboard'!$C$6="",$X112='Out_Dashboard'!$C$6),OR('Out_Dashboard'!$C$7="",$B112='Out_Dashboard'!$C$7)),1,0))</f>
        <v/>
      </c>
      <c r="Z112" s="25">
        <f>IF(AND($A112&lt;&gt;"",$S112&lt;&gt;"",$Y112=1),SUMPRODUCT(($A$8:$A112&lt;&gt;"")*($S$8:$S112&lt;&gt;"")*($Y$8:$Y112=1)),"")</f>
        <v/>
      </c>
      <c r="AA112" s="25">
        <f>IF(AND($A112&lt;&gt;"",$T112&lt;&gt;"",$Y112=1),SUMPRODUCT(($A$8:$A112&lt;&gt;"")*($T$8:$T112&lt;&gt;"")*($Y$8:$Y112=1)),"")</f>
        <v/>
      </c>
    </row>
    <row r="113">
      <c r="A113" s="13" t="n"/>
      <c r="B113" s="13" t="n"/>
      <c r="C113" s="26" t="n"/>
      <c r="D113" s="26" t="n"/>
      <c r="E113" s="26" t="n"/>
      <c r="F113" s="13" t="n"/>
      <c r="G113" s="13" t="n"/>
      <c r="H113" s="13" t="n"/>
      <c r="I113" s="13" t="n"/>
      <c r="J113" s="23">
        <f>IF($A113="","",IFERROR(INDEX('Ref_Crosswalk'!$F$2:$F$500,MATCH($A113,'Ref_Crosswalk'!$A$2:$A$500,0)),"UNKNOWN"))</f>
        <v/>
      </c>
      <c r="K113" s="24">
        <f>IF($A113="","",IFERROR(INDEX('Ref_Tolerance'!$B$2:$B$9,MATCH($J113,'Ref_Tolerance'!$A$2:$A$9,0)),""))</f>
        <v/>
      </c>
      <c r="L113" s="23">
        <f>IF($A113="","",IFERROR(INDEX('Ref_Tolerance'!$D$2:$D$9,MATCH($J113,'Ref_Tolerance'!$A$2:$A$9,0)),""))</f>
        <v/>
      </c>
      <c r="M113" s="24">
        <f>IF($A113="","",IFERROR(ABS(N($D113))/N($C113),0))</f>
        <v/>
      </c>
      <c r="N113" s="24">
        <f>IF($A113="","",IFERROR(N($E113)/N($C113),0))</f>
        <v/>
      </c>
      <c r="O113" s="23">
        <f>IF($A113="",0,IFERROR(SUMPRODUCT(($A$8:$A$307=$A113)*($P$8:$P$307="FAIL")*($U$8:$U$307&gt;$V113)*($U$8:$U$307&lt;=$U113)),0))</f>
        <v/>
      </c>
      <c r="P113" s="23">
        <f>IF($A113="","",IFERROR(IF(NOT(ISNUMBER($K113)),"CHECK",IF($L113="MARGIN",IF($N113&lt;=$K113,"PASS","FAIL"),IF($M113&lt;=$K113,"PASS","FAIL"))),"CHECK"))</f>
        <v/>
      </c>
      <c r="Q113" s="23">
        <f>IF($A113="","",IFERROR(INDEX('Ref_Tolerance'!$E$2:$E$9,MATCH($J113,'Ref_Tolerance'!$A$2:$A$9,0)),""))</f>
        <v/>
      </c>
      <c r="R113" s="23">
        <f>IF($A113="","",IFERROR(IF($O113=0,"CLEAR",IF($O113=1,"MFR DUE - MANAGER",IF($O113=2,"MFR DUE - FSS/CC SIGNATURE REQUIRED","INVESTIGATION + REPORT OF SURVEY; MSG/CC NOTIFIED"))),""))</f>
        <v/>
      </c>
      <c r="S113" s="23">
        <f>IF($A113="","",IF($O113=2,"WATCH - ONE MORE MISS TRIGGERS INVESTIGATION",""))</f>
        <v/>
      </c>
      <c r="T113" s="23">
        <f>IF($A113="","",IFERROR(IF(AND($O113&gt;=1,$F113&lt;&gt;"Y"),"MFR NOT SUBMITTED",IF(AND($O113&gt;=2,$G113&lt;&gt;"Y"),"FSS/CC SIGNATURE MISSING",IF(AND($O113&gt;=3,$H113&lt;&gt;"Y"),"INVESTIGATION NOT OPENED",""))),""))</f>
        <v/>
      </c>
      <c r="U113" s="25">
        <f>IF($A113="",0,IFERROR(MATCH($B113,'Ref_Calendar'!$A$2:$A$500,0),0))</f>
        <v/>
      </c>
      <c r="V113" s="25">
        <f>IF($A113="",0,IFERROR(SUMPRODUCT(MAX(($A$8:$A$307=$A113)*($P$8:$P$307="PASS")*($U$8:$U$307&lt;=$U113)*$U$8:$U$307)),0))</f>
        <v/>
      </c>
      <c r="W113" s="25">
        <f>IF($A113="","",IFERROR(INDEX('Ref_Crosswalk'!$E$2:$E$500,MATCH($A113,'Ref_Crosswalk'!$A$2:$A$500,0)),""))</f>
        <v/>
      </c>
      <c r="X113" s="25">
        <f>IF($A113="","",IFERROR(INDEX('Ref_Crosswalk'!$C$2:$C$500,MATCH($A113,'Ref_Crosswalk'!$A$2:$A$500,0)),""))</f>
        <v/>
      </c>
      <c r="Y113" s="25">
        <f>IF($A113="",0,IF(AND(OR('Out_Dashboard'!$C$5="",$W113='Out_Dashboard'!$C$5),OR('Out_Dashboard'!$C$6="",$X113='Out_Dashboard'!$C$6),OR('Out_Dashboard'!$C$7="",$B113='Out_Dashboard'!$C$7)),1,0))</f>
        <v/>
      </c>
      <c r="Z113" s="25">
        <f>IF(AND($A113&lt;&gt;"",$S113&lt;&gt;"",$Y113=1),SUMPRODUCT(($A$8:$A113&lt;&gt;"")*($S$8:$S113&lt;&gt;"")*($Y$8:$Y113=1)),"")</f>
        <v/>
      </c>
      <c r="AA113" s="25">
        <f>IF(AND($A113&lt;&gt;"",$T113&lt;&gt;"",$Y113=1),SUMPRODUCT(($A$8:$A113&lt;&gt;"")*($T$8:$T113&lt;&gt;"")*($Y$8:$Y113=1)),"")</f>
        <v/>
      </c>
    </row>
    <row r="114">
      <c r="A114" s="13" t="n"/>
      <c r="B114" s="13" t="n"/>
      <c r="C114" s="26" t="n"/>
      <c r="D114" s="26" t="n"/>
      <c r="E114" s="26" t="n"/>
      <c r="F114" s="13" t="n"/>
      <c r="G114" s="13" t="n"/>
      <c r="H114" s="13" t="n"/>
      <c r="I114" s="13" t="n"/>
      <c r="J114" s="23">
        <f>IF($A114="","",IFERROR(INDEX('Ref_Crosswalk'!$F$2:$F$500,MATCH($A114,'Ref_Crosswalk'!$A$2:$A$500,0)),"UNKNOWN"))</f>
        <v/>
      </c>
      <c r="K114" s="24">
        <f>IF($A114="","",IFERROR(INDEX('Ref_Tolerance'!$B$2:$B$9,MATCH($J114,'Ref_Tolerance'!$A$2:$A$9,0)),""))</f>
        <v/>
      </c>
      <c r="L114" s="23">
        <f>IF($A114="","",IFERROR(INDEX('Ref_Tolerance'!$D$2:$D$9,MATCH($J114,'Ref_Tolerance'!$A$2:$A$9,0)),""))</f>
        <v/>
      </c>
      <c r="M114" s="24">
        <f>IF($A114="","",IFERROR(ABS(N($D114))/N($C114),0))</f>
        <v/>
      </c>
      <c r="N114" s="24">
        <f>IF($A114="","",IFERROR(N($E114)/N($C114),0))</f>
        <v/>
      </c>
      <c r="O114" s="23">
        <f>IF($A114="",0,IFERROR(SUMPRODUCT(($A$8:$A$307=$A114)*($P$8:$P$307="FAIL")*($U$8:$U$307&gt;$V114)*($U$8:$U$307&lt;=$U114)),0))</f>
        <v/>
      </c>
      <c r="P114" s="23">
        <f>IF($A114="","",IFERROR(IF(NOT(ISNUMBER($K114)),"CHECK",IF($L114="MARGIN",IF($N114&lt;=$K114,"PASS","FAIL"),IF($M114&lt;=$K114,"PASS","FAIL"))),"CHECK"))</f>
        <v/>
      </c>
      <c r="Q114" s="23">
        <f>IF($A114="","",IFERROR(INDEX('Ref_Tolerance'!$E$2:$E$9,MATCH($J114,'Ref_Tolerance'!$A$2:$A$9,0)),""))</f>
        <v/>
      </c>
      <c r="R114" s="23">
        <f>IF($A114="","",IFERROR(IF($O114=0,"CLEAR",IF($O114=1,"MFR DUE - MANAGER",IF($O114=2,"MFR DUE - FSS/CC SIGNATURE REQUIRED","INVESTIGATION + REPORT OF SURVEY; MSG/CC NOTIFIED"))),""))</f>
        <v/>
      </c>
      <c r="S114" s="23">
        <f>IF($A114="","",IF($O114=2,"WATCH - ONE MORE MISS TRIGGERS INVESTIGATION",""))</f>
        <v/>
      </c>
      <c r="T114" s="23">
        <f>IF($A114="","",IFERROR(IF(AND($O114&gt;=1,$F114&lt;&gt;"Y"),"MFR NOT SUBMITTED",IF(AND($O114&gt;=2,$G114&lt;&gt;"Y"),"FSS/CC SIGNATURE MISSING",IF(AND($O114&gt;=3,$H114&lt;&gt;"Y"),"INVESTIGATION NOT OPENED",""))),""))</f>
        <v/>
      </c>
      <c r="U114" s="25">
        <f>IF($A114="",0,IFERROR(MATCH($B114,'Ref_Calendar'!$A$2:$A$500,0),0))</f>
        <v/>
      </c>
      <c r="V114" s="25">
        <f>IF($A114="",0,IFERROR(SUMPRODUCT(MAX(($A$8:$A$307=$A114)*($P$8:$P$307="PASS")*($U$8:$U$307&lt;=$U114)*$U$8:$U$307)),0))</f>
        <v/>
      </c>
      <c r="W114" s="25">
        <f>IF($A114="","",IFERROR(INDEX('Ref_Crosswalk'!$E$2:$E$500,MATCH($A114,'Ref_Crosswalk'!$A$2:$A$500,0)),""))</f>
        <v/>
      </c>
      <c r="X114" s="25">
        <f>IF($A114="","",IFERROR(INDEX('Ref_Crosswalk'!$C$2:$C$500,MATCH($A114,'Ref_Crosswalk'!$A$2:$A$500,0)),""))</f>
        <v/>
      </c>
      <c r="Y114" s="25">
        <f>IF($A114="",0,IF(AND(OR('Out_Dashboard'!$C$5="",$W114='Out_Dashboard'!$C$5),OR('Out_Dashboard'!$C$6="",$X114='Out_Dashboard'!$C$6),OR('Out_Dashboard'!$C$7="",$B114='Out_Dashboard'!$C$7)),1,0))</f>
        <v/>
      </c>
      <c r="Z114" s="25">
        <f>IF(AND($A114&lt;&gt;"",$S114&lt;&gt;"",$Y114=1),SUMPRODUCT(($A$8:$A114&lt;&gt;"")*($S$8:$S114&lt;&gt;"")*($Y$8:$Y114=1)),"")</f>
        <v/>
      </c>
      <c r="AA114" s="25">
        <f>IF(AND($A114&lt;&gt;"",$T114&lt;&gt;"",$Y114=1),SUMPRODUCT(($A$8:$A114&lt;&gt;"")*($T$8:$T114&lt;&gt;"")*($Y$8:$Y114=1)),"")</f>
        <v/>
      </c>
    </row>
    <row r="115">
      <c r="A115" s="13" t="n"/>
      <c r="B115" s="13" t="n"/>
      <c r="C115" s="26" t="n"/>
      <c r="D115" s="26" t="n"/>
      <c r="E115" s="26" t="n"/>
      <c r="F115" s="13" t="n"/>
      <c r="G115" s="13" t="n"/>
      <c r="H115" s="13" t="n"/>
      <c r="I115" s="13" t="n"/>
      <c r="J115" s="23">
        <f>IF($A115="","",IFERROR(INDEX('Ref_Crosswalk'!$F$2:$F$500,MATCH($A115,'Ref_Crosswalk'!$A$2:$A$500,0)),"UNKNOWN"))</f>
        <v/>
      </c>
      <c r="K115" s="24">
        <f>IF($A115="","",IFERROR(INDEX('Ref_Tolerance'!$B$2:$B$9,MATCH($J115,'Ref_Tolerance'!$A$2:$A$9,0)),""))</f>
        <v/>
      </c>
      <c r="L115" s="23">
        <f>IF($A115="","",IFERROR(INDEX('Ref_Tolerance'!$D$2:$D$9,MATCH($J115,'Ref_Tolerance'!$A$2:$A$9,0)),""))</f>
        <v/>
      </c>
      <c r="M115" s="24">
        <f>IF($A115="","",IFERROR(ABS(N($D115))/N($C115),0))</f>
        <v/>
      </c>
      <c r="N115" s="24">
        <f>IF($A115="","",IFERROR(N($E115)/N($C115),0))</f>
        <v/>
      </c>
      <c r="O115" s="23">
        <f>IF($A115="",0,IFERROR(SUMPRODUCT(($A$8:$A$307=$A115)*($P$8:$P$307="FAIL")*($U$8:$U$307&gt;$V115)*($U$8:$U$307&lt;=$U115)),0))</f>
        <v/>
      </c>
      <c r="P115" s="23">
        <f>IF($A115="","",IFERROR(IF(NOT(ISNUMBER($K115)),"CHECK",IF($L115="MARGIN",IF($N115&lt;=$K115,"PASS","FAIL"),IF($M115&lt;=$K115,"PASS","FAIL"))),"CHECK"))</f>
        <v/>
      </c>
      <c r="Q115" s="23">
        <f>IF($A115="","",IFERROR(INDEX('Ref_Tolerance'!$E$2:$E$9,MATCH($J115,'Ref_Tolerance'!$A$2:$A$9,0)),""))</f>
        <v/>
      </c>
      <c r="R115" s="23">
        <f>IF($A115="","",IFERROR(IF($O115=0,"CLEAR",IF($O115=1,"MFR DUE - MANAGER",IF($O115=2,"MFR DUE - FSS/CC SIGNATURE REQUIRED","INVESTIGATION + REPORT OF SURVEY; MSG/CC NOTIFIED"))),""))</f>
        <v/>
      </c>
      <c r="S115" s="23">
        <f>IF($A115="","",IF($O115=2,"WATCH - ONE MORE MISS TRIGGERS INVESTIGATION",""))</f>
        <v/>
      </c>
      <c r="T115" s="23">
        <f>IF($A115="","",IFERROR(IF(AND($O115&gt;=1,$F115&lt;&gt;"Y"),"MFR NOT SUBMITTED",IF(AND($O115&gt;=2,$G115&lt;&gt;"Y"),"FSS/CC SIGNATURE MISSING",IF(AND($O115&gt;=3,$H115&lt;&gt;"Y"),"INVESTIGATION NOT OPENED",""))),""))</f>
        <v/>
      </c>
      <c r="U115" s="25">
        <f>IF($A115="",0,IFERROR(MATCH($B115,'Ref_Calendar'!$A$2:$A$500,0),0))</f>
        <v/>
      </c>
      <c r="V115" s="25">
        <f>IF($A115="",0,IFERROR(SUMPRODUCT(MAX(($A$8:$A$307=$A115)*($P$8:$P$307="PASS")*($U$8:$U$307&lt;=$U115)*$U$8:$U$307)),0))</f>
        <v/>
      </c>
      <c r="W115" s="25">
        <f>IF($A115="","",IFERROR(INDEX('Ref_Crosswalk'!$E$2:$E$500,MATCH($A115,'Ref_Crosswalk'!$A$2:$A$500,0)),""))</f>
        <v/>
      </c>
      <c r="X115" s="25">
        <f>IF($A115="","",IFERROR(INDEX('Ref_Crosswalk'!$C$2:$C$500,MATCH($A115,'Ref_Crosswalk'!$A$2:$A$500,0)),""))</f>
        <v/>
      </c>
      <c r="Y115" s="25">
        <f>IF($A115="",0,IF(AND(OR('Out_Dashboard'!$C$5="",$W115='Out_Dashboard'!$C$5),OR('Out_Dashboard'!$C$6="",$X115='Out_Dashboard'!$C$6),OR('Out_Dashboard'!$C$7="",$B115='Out_Dashboard'!$C$7)),1,0))</f>
        <v/>
      </c>
      <c r="Z115" s="25">
        <f>IF(AND($A115&lt;&gt;"",$S115&lt;&gt;"",$Y115=1),SUMPRODUCT(($A$8:$A115&lt;&gt;"")*($S$8:$S115&lt;&gt;"")*($Y$8:$Y115=1)),"")</f>
        <v/>
      </c>
      <c r="AA115" s="25">
        <f>IF(AND($A115&lt;&gt;"",$T115&lt;&gt;"",$Y115=1),SUMPRODUCT(($A$8:$A115&lt;&gt;"")*($T$8:$T115&lt;&gt;"")*($Y$8:$Y115=1)),"")</f>
        <v/>
      </c>
    </row>
    <row r="116">
      <c r="A116" s="13" t="n"/>
      <c r="B116" s="13" t="n"/>
      <c r="C116" s="26" t="n"/>
      <c r="D116" s="26" t="n"/>
      <c r="E116" s="26" t="n"/>
      <c r="F116" s="13" t="n"/>
      <c r="G116" s="13" t="n"/>
      <c r="H116" s="13" t="n"/>
      <c r="I116" s="13" t="n"/>
      <c r="J116" s="23">
        <f>IF($A116="","",IFERROR(INDEX('Ref_Crosswalk'!$F$2:$F$500,MATCH($A116,'Ref_Crosswalk'!$A$2:$A$500,0)),"UNKNOWN"))</f>
        <v/>
      </c>
      <c r="K116" s="24">
        <f>IF($A116="","",IFERROR(INDEX('Ref_Tolerance'!$B$2:$B$9,MATCH($J116,'Ref_Tolerance'!$A$2:$A$9,0)),""))</f>
        <v/>
      </c>
      <c r="L116" s="23">
        <f>IF($A116="","",IFERROR(INDEX('Ref_Tolerance'!$D$2:$D$9,MATCH($J116,'Ref_Tolerance'!$A$2:$A$9,0)),""))</f>
        <v/>
      </c>
      <c r="M116" s="24">
        <f>IF($A116="","",IFERROR(ABS(N($D116))/N($C116),0))</f>
        <v/>
      </c>
      <c r="N116" s="24">
        <f>IF($A116="","",IFERROR(N($E116)/N($C116),0))</f>
        <v/>
      </c>
      <c r="O116" s="23">
        <f>IF($A116="",0,IFERROR(SUMPRODUCT(($A$8:$A$307=$A116)*($P$8:$P$307="FAIL")*($U$8:$U$307&gt;$V116)*($U$8:$U$307&lt;=$U116)),0))</f>
        <v/>
      </c>
      <c r="P116" s="23">
        <f>IF($A116="","",IFERROR(IF(NOT(ISNUMBER($K116)),"CHECK",IF($L116="MARGIN",IF($N116&lt;=$K116,"PASS","FAIL"),IF($M116&lt;=$K116,"PASS","FAIL"))),"CHECK"))</f>
        <v/>
      </c>
      <c r="Q116" s="23">
        <f>IF($A116="","",IFERROR(INDEX('Ref_Tolerance'!$E$2:$E$9,MATCH($J116,'Ref_Tolerance'!$A$2:$A$9,0)),""))</f>
        <v/>
      </c>
      <c r="R116" s="23">
        <f>IF($A116="","",IFERROR(IF($O116=0,"CLEAR",IF($O116=1,"MFR DUE - MANAGER",IF($O116=2,"MFR DUE - FSS/CC SIGNATURE REQUIRED","INVESTIGATION + REPORT OF SURVEY; MSG/CC NOTIFIED"))),""))</f>
        <v/>
      </c>
      <c r="S116" s="23">
        <f>IF($A116="","",IF($O116=2,"WATCH - ONE MORE MISS TRIGGERS INVESTIGATION",""))</f>
        <v/>
      </c>
      <c r="T116" s="23">
        <f>IF($A116="","",IFERROR(IF(AND($O116&gt;=1,$F116&lt;&gt;"Y"),"MFR NOT SUBMITTED",IF(AND($O116&gt;=2,$G116&lt;&gt;"Y"),"FSS/CC SIGNATURE MISSING",IF(AND($O116&gt;=3,$H116&lt;&gt;"Y"),"INVESTIGATION NOT OPENED",""))),""))</f>
        <v/>
      </c>
      <c r="U116" s="25">
        <f>IF($A116="",0,IFERROR(MATCH($B116,'Ref_Calendar'!$A$2:$A$500,0),0))</f>
        <v/>
      </c>
      <c r="V116" s="25">
        <f>IF($A116="",0,IFERROR(SUMPRODUCT(MAX(($A$8:$A$307=$A116)*($P$8:$P$307="PASS")*($U$8:$U$307&lt;=$U116)*$U$8:$U$307)),0))</f>
        <v/>
      </c>
      <c r="W116" s="25">
        <f>IF($A116="","",IFERROR(INDEX('Ref_Crosswalk'!$E$2:$E$500,MATCH($A116,'Ref_Crosswalk'!$A$2:$A$500,0)),""))</f>
        <v/>
      </c>
      <c r="X116" s="25">
        <f>IF($A116="","",IFERROR(INDEX('Ref_Crosswalk'!$C$2:$C$500,MATCH($A116,'Ref_Crosswalk'!$A$2:$A$500,0)),""))</f>
        <v/>
      </c>
      <c r="Y116" s="25">
        <f>IF($A116="",0,IF(AND(OR('Out_Dashboard'!$C$5="",$W116='Out_Dashboard'!$C$5),OR('Out_Dashboard'!$C$6="",$X116='Out_Dashboard'!$C$6),OR('Out_Dashboard'!$C$7="",$B116='Out_Dashboard'!$C$7)),1,0))</f>
        <v/>
      </c>
      <c r="Z116" s="25">
        <f>IF(AND($A116&lt;&gt;"",$S116&lt;&gt;"",$Y116=1),SUMPRODUCT(($A$8:$A116&lt;&gt;"")*($S$8:$S116&lt;&gt;"")*($Y$8:$Y116=1)),"")</f>
        <v/>
      </c>
      <c r="AA116" s="25">
        <f>IF(AND($A116&lt;&gt;"",$T116&lt;&gt;"",$Y116=1),SUMPRODUCT(($A$8:$A116&lt;&gt;"")*($T$8:$T116&lt;&gt;"")*($Y$8:$Y116=1)),"")</f>
        <v/>
      </c>
    </row>
    <row r="117">
      <c r="A117" s="13" t="n"/>
      <c r="B117" s="13" t="n"/>
      <c r="C117" s="26" t="n"/>
      <c r="D117" s="26" t="n"/>
      <c r="E117" s="26" t="n"/>
      <c r="F117" s="13" t="n"/>
      <c r="G117" s="13" t="n"/>
      <c r="H117" s="13" t="n"/>
      <c r="I117" s="13" t="n"/>
      <c r="J117" s="23">
        <f>IF($A117="","",IFERROR(INDEX('Ref_Crosswalk'!$F$2:$F$500,MATCH($A117,'Ref_Crosswalk'!$A$2:$A$500,0)),"UNKNOWN"))</f>
        <v/>
      </c>
      <c r="K117" s="24">
        <f>IF($A117="","",IFERROR(INDEX('Ref_Tolerance'!$B$2:$B$9,MATCH($J117,'Ref_Tolerance'!$A$2:$A$9,0)),""))</f>
        <v/>
      </c>
      <c r="L117" s="23">
        <f>IF($A117="","",IFERROR(INDEX('Ref_Tolerance'!$D$2:$D$9,MATCH($J117,'Ref_Tolerance'!$A$2:$A$9,0)),""))</f>
        <v/>
      </c>
      <c r="M117" s="24">
        <f>IF($A117="","",IFERROR(ABS(N($D117))/N($C117),0))</f>
        <v/>
      </c>
      <c r="N117" s="24">
        <f>IF($A117="","",IFERROR(N($E117)/N($C117),0))</f>
        <v/>
      </c>
      <c r="O117" s="23">
        <f>IF($A117="",0,IFERROR(SUMPRODUCT(($A$8:$A$307=$A117)*($P$8:$P$307="FAIL")*($U$8:$U$307&gt;$V117)*($U$8:$U$307&lt;=$U117)),0))</f>
        <v/>
      </c>
      <c r="P117" s="23">
        <f>IF($A117="","",IFERROR(IF(NOT(ISNUMBER($K117)),"CHECK",IF($L117="MARGIN",IF($N117&lt;=$K117,"PASS","FAIL"),IF($M117&lt;=$K117,"PASS","FAIL"))),"CHECK"))</f>
        <v/>
      </c>
      <c r="Q117" s="23">
        <f>IF($A117="","",IFERROR(INDEX('Ref_Tolerance'!$E$2:$E$9,MATCH($J117,'Ref_Tolerance'!$A$2:$A$9,0)),""))</f>
        <v/>
      </c>
      <c r="R117" s="23">
        <f>IF($A117="","",IFERROR(IF($O117=0,"CLEAR",IF($O117=1,"MFR DUE - MANAGER",IF($O117=2,"MFR DUE - FSS/CC SIGNATURE REQUIRED","INVESTIGATION + REPORT OF SURVEY; MSG/CC NOTIFIED"))),""))</f>
        <v/>
      </c>
      <c r="S117" s="23">
        <f>IF($A117="","",IF($O117=2,"WATCH - ONE MORE MISS TRIGGERS INVESTIGATION",""))</f>
        <v/>
      </c>
      <c r="T117" s="23">
        <f>IF($A117="","",IFERROR(IF(AND($O117&gt;=1,$F117&lt;&gt;"Y"),"MFR NOT SUBMITTED",IF(AND($O117&gt;=2,$G117&lt;&gt;"Y"),"FSS/CC SIGNATURE MISSING",IF(AND($O117&gt;=3,$H117&lt;&gt;"Y"),"INVESTIGATION NOT OPENED",""))),""))</f>
        <v/>
      </c>
      <c r="U117" s="25">
        <f>IF($A117="",0,IFERROR(MATCH($B117,'Ref_Calendar'!$A$2:$A$500,0),0))</f>
        <v/>
      </c>
      <c r="V117" s="25">
        <f>IF($A117="",0,IFERROR(SUMPRODUCT(MAX(($A$8:$A$307=$A117)*($P$8:$P$307="PASS")*($U$8:$U$307&lt;=$U117)*$U$8:$U$307)),0))</f>
        <v/>
      </c>
      <c r="W117" s="25">
        <f>IF($A117="","",IFERROR(INDEX('Ref_Crosswalk'!$E$2:$E$500,MATCH($A117,'Ref_Crosswalk'!$A$2:$A$500,0)),""))</f>
        <v/>
      </c>
      <c r="X117" s="25">
        <f>IF($A117="","",IFERROR(INDEX('Ref_Crosswalk'!$C$2:$C$500,MATCH($A117,'Ref_Crosswalk'!$A$2:$A$500,0)),""))</f>
        <v/>
      </c>
      <c r="Y117" s="25">
        <f>IF($A117="",0,IF(AND(OR('Out_Dashboard'!$C$5="",$W117='Out_Dashboard'!$C$5),OR('Out_Dashboard'!$C$6="",$X117='Out_Dashboard'!$C$6),OR('Out_Dashboard'!$C$7="",$B117='Out_Dashboard'!$C$7)),1,0))</f>
        <v/>
      </c>
      <c r="Z117" s="25">
        <f>IF(AND($A117&lt;&gt;"",$S117&lt;&gt;"",$Y117=1),SUMPRODUCT(($A$8:$A117&lt;&gt;"")*($S$8:$S117&lt;&gt;"")*($Y$8:$Y117=1)),"")</f>
        <v/>
      </c>
      <c r="AA117" s="25">
        <f>IF(AND($A117&lt;&gt;"",$T117&lt;&gt;"",$Y117=1),SUMPRODUCT(($A$8:$A117&lt;&gt;"")*($T$8:$T117&lt;&gt;"")*($Y$8:$Y117=1)),"")</f>
        <v/>
      </c>
    </row>
    <row r="118">
      <c r="A118" s="13" t="n"/>
      <c r="B118" s="13" t="n"/>
      <c r="C118" s="26" t="n"/>
      <c r="D118" s="26" t="n"/>
      <c r="E118" s="26" t="n"/>
      <c r="F118" s="13" t="n"/>
      <c r="G118" s="13" t="n"/>
      <c r="H118" s="13" t="n"/>
      <c r="I118" s="13" t="n"/>
      <c r="J118" s="23">
        <f>IF($A118="","",IFERROR(INDEX('Ref_Crosswalk'!$F$2:$F$500,MATCH($A118,'Ref_Crosswalk'!$A$2:$A$500,0)),"UNKNOWN"))</f>
        <v/>
      </c>
      <c r="K118" s="24">
        <f>IF($A118="","",IFERROR(INDEX('Ref_Tolerance'!$B$2:$B$9,MATCH($J118,'Ref_Tolerance'!$A$2:$A$9,0)),""))</f>
        <v/>
      </c>
      <c r="L118" s="23">
        <f>IF($A118="","",IFERROR(INDEX('Ref_Tolerance'!$D$2:$D$9,MATCH($J118,'Ref_Tolerance'!$A$2:$A$9,0)),""))</f>
        <v/>
      </c>
      <c r="M118" s="24">
        <f>IF($A118="","",IFERROR(ABS(N($D118))/N($C118),0))</f>
        <v/>
      </c>
      <c r="N118" s="24">
        <f>IF($A118="","",IFERROR(N($E118)/N($C118),0))</f>
        <v/>
      </c>
      <c r="O118" s="23">
        <f>IF($A118="",0,IFERROR(SUMPRODUCT(($A$8:$A$307=$A118)*($P$8:$P$307="FAIL")*($U$8:$U$307&gt;$V118)*($U$8:$U$307&lt;=$U118)),0))</f>
        <v/>
      </c>
      <c r="P118" s="23">
        <f>IF($A118="","",IFERROR(IF(NOT(ISNUMBER($K118)),"CHECK",IF($L118="MARGIN",IF($N118&lt;=$K118,"PASS","FAIL"),IF($M118&lt;=$K118,"PASS","FAIL"))),"CHECK"))</f>
        <v/>
      </c>
      <c r="Q118" s="23">
        <f>IF($A118="","",IFERROR(INDEX('Ref_Tolerance'!$E$2:$E$9,MATCH($J118,'Ref_Tolerance'!$A$2:$A$9,0)),""))</f>
        <v/>
      </c>
      <c r="R118" s="23">
        <f>IF($A118="","",IFERROR(IF($O118=0,"CLEAR",IF($O118=1,"MFR DUE - MANAGER",IF($O118=2,"MFR DUE - FSS/CC SIGNATURE REQUIRED","INVESTIGATION + REPORT OF SURVEY; MSG/CC NOTIFIED"))),""))</f>
        <v/>
      </c>
      <c r="S118" s="23">
        <f>IF($A118="","",IF($O118=2,"WATCH - ONE MORE MISS TRIGGERS INVESTIGATION",""))</f>
        <v/>
      </c>
      <c r="T118" s="23">
        <f>IF($A118="","",IFERROR(IF(AND($O118&gt;=1,$F118&lt;&gt;"Y"),"MFR NOT SUBMITTED",IF(AND($O118&gt;=2,$G118&lt;&gt;"Y"),"FSS/CC SIGNATURE MISSING",IF(AND($O118&gt;=3,$H118&lt;&gt;"Y"),"INVESTIGATION NOT OPENED",""))),""))</f>
        <v/>
      </c>
      <c r="U118" s="25">
        <f>IF($A118="",0,IFERROR(MATCH($B118,'Ref_Calendar'!$A$2:$A$500,0),0))</f>
        <v/>
      </c>
      <c r="V118" s="25">
        <f>IF($A118="",0,IFERROR(SUMPRODUCT(MAX(($A$8:$A$307=$A118)*($P$8:$P$307="PASS")*($U$8:$U$307&lt;=$U118)*$U$8:$U$307)),0))</f>
        <v/>
      </c>
      <c r="W118" s="25">
        <f>IF($A118="","",IFERROR(INDEX('Ref_Crosswalk'!$E$2:$E$500,MATCH($A118,'Ref_Crosswalk'!$A$2:$A$500,0)),""))</f>
        <v/>
      </c>
      <c r="X118" s="25">
        <f>IF($A118="","",IFERROR(INDEX('Ref_Crosswalk'!$C$2:$C$500,MATCH($A118,'Ref_Crosswalk'!$A$2:$A$500,0)),""))</f>
        <v/>
      </c>
      <c r="Y118" s="25">
        <f>IF($A118="",0,IF(AND(OR('Out_Dashboard'!$C$5="",$W118='Out_Dashboard'!$C$5),OR('Out_Dashboard'!$C$6="",$X118='Out_Dashboard'!$C$6),OR('Out_Dashboard'!$C$7="",$B118='Out_Dashboard'!$C$7)),1,0))</f>
        <v/>
      </c>
      <c r="Z118" s="25">
        <f>IF(AND($A118&lt;&gt;"",$S118&lt;&gt;"",$Y118=1),SUMPRODUCT(($A$8:$A118&lt;&gt;"")*($S$8:$S118&lt;&gt;"")*($Y$8:$Y118=1)),"")</f>
        <v/>
      </c>
      <c r="AA118" s="25">
        <f>IF(AND($A118&lt;&gt;"",$T118&lt;&gt;"",$Y118=1),SUMPRODUCT(($A$8:$A118&lt;&gt;"")*($T$8:$T118&lt;&gt;"")*($Y$8:$Y118=1)),"")</f>
        <v/>
      </c>
    </row>
    <row r="119">
      <c r="A119" s="13" t="n"/>
      <c r="B119" s="13" t="n"/>
      <c r="C119" s="26" t="n"/>
      <c r="D119" s="26" t="n"/>
      <c r="E119" s="26" t="n"/>
      <c r="F119" s="13" t="n"/>
      <c r="G119" s="13" t="n"/>
      <c r="H119" s="13" t="n"/>
      <c r="I119" s="13" t="n"/>
      <c r="J119" s="23">
        <f>IF($A119="","",IFERROR(INDEX('Ref_Crosswalk'!$F$2:$F$500,MATCH($A119,'Ref_Crosswalk'!$A$2:$A$500,0)),"UNKNOWN"))</f>
        <v/>
      </c>
      <c r="K119" s="24">
        <f>IF($A119="","",IFERROR(INDEX('Ref_Tolerance'!$B$2:$B$9,MATCH($J119,'Ref_Tolerance'!$A$2:$A$9,0)),""))</f>
        <v/>
      </c>
      <c r="L119" s="23">
        <f>IF($A119="","",IFERROR(INDEX('Ref_Tolerance'!$D$2:$D$9,MATCH($J119,'Ref_Tolerance'!$A$2:$A$9,0)),""))</f>
        <v/>
      </c>
      <c r="M119" s="24">
        <f>IF($A119="","",IFERROR(ABS(N($D119))/N($C119),0))</f>
        <v/>
      </c>
      <c r="N119" s="24">
        <f>IF($A119="","",IFERROR(N($E119)/N($C119),0))</f>
        <v/>
      </c>
      <c r="O119" s="23">
        <f>IF($A119="",0,IFERROR(SUMPRODUCT(($A$8:$A$307=$A119)*($P$8:$P$307="FAIL")*($U$8:$U$307&gt;$V119)*($U$8:$U$307&lt;=$U119)),0))</f>
        <v/>
      </c>
      <c r="P119" s="23">
        <f>IF($A119="","",IFERROR(IF(NOT(ISNUMBER($K119)),"CHECK",IF($L119="MARGIN",IF($N119&lt;=$K119,"PASS","FAIL"),IF($M119&lt;=$K119,"PASS","FAIL"))),"CHECK"))</f>
        <v/>
      </c>
      <c r="Q119" s="23">
        <f>IF($A119="","",IFERROR(INDEX('Ref_Tolerance'!$E$2:$E$9,MATCH($J119,'Ref_Tolerance'!$A$2:$A$9,0)),""))</f>
        <v/>
      </c>
      <c r="R119" s="23">
        <f>IF($A119="","",IFERROR(IF($O119=0,"CLEAR",IF($O119=1,"MFR DUE - MANAGER",IF($O119=2,"MFR DUE - FSS/CC SIGNATURE REQUIRED","INVESTIGATION + REPORT OF SURVEY; MSG/CC NOTIFIED"))),""))</f>
        <v/>
      </c>
      <c r="S119" s="23">
        <f>IF($A119="","",IF($O119=2,"WATCH - ONE MORE MISS TRIGGERS INVESTIGATION",""))</f>
        <v/>
      </c>
      <c r="T119" s="23">
        <f>IF($A119="","",IFERROR(IF(AND($O119&gt;=1,$F119&lt;&gt;"Y"),"MFR NOT SUBMITTED",IF(AND($O119&gt;=2,$G119&lt;&gt;"Y"),"FSS/CC SIGNATURE MISSING",IF(AND($O119&gt;=3,$H119&lt;&gt;"Y"),"INVESTIGATION NOT OPENED",""))),""))</f>
        <v/>
      </c>
      <c r="U119" s="25">
        <f>IF($A119="",0,IFERROR(MATCH($B119,'Ref_Calendar'!$A$2:$A$500,0),0))</f>
        <v/>
      </c>
      <c r="V119" s="25">
        <f>IF($A119="",0,IFERROR(SUMPRODUCT(MAX(($A$8:$A$307=$A119)*($P$8:$P$307="PASS")*($U$8:$U$307&lt;=$U119)*$U$8:$U$307)),0))</f>
        <v/>
      </c>
      <c r="W119" s="25">
        <f>IF($A119="","",IFERROR(INDEX('Ref_Crosswalk'!$E$2:$E$500,MATCH($A119,'Ref_Crosswalk'!$A$2:$A$500,0)),""))</f>
        <v/>
      </c>
      <c r="X119" s="25">
        <f>IF($A119="","",IFERROR(INDEX('Ref_Crosswalk'!$C$2:$C$500,MATCH($A119,'Ref_Crosswalk'!$A$2:$A$500,0)),""))</f>
        <v/>
      </c>
      <c r="Y119" s="25">
        <f>IF($A119="",0,IF(AND(OR('Out_Dashboard'!$C$5="",$W119='Out_Dashboard'!$C$5),OR('Out_Dashboard'!$C$6="",$X119='Out_Dashboard'!$C$6),OR('Out_Dashboard'!$C$7="",$B119='Out_Dashboard'!$C$7)),1,0))</f>
        <v/>
      </c>
      <c r="Z119" s="25">
        <f>IF(AND($A119&lt;&gt;"",$S119&lt;&gt;"",$Y119=1),SUMPRODUCT(($A$8:$A119&lt;&gt;"")*($S$8:$S119&lt;&gt;"")*($Y$8:$Y119=1)),"")</f>
        <v/>
      </c>
      <c r="AA119" s="25">
        <f>IF(AND($A119&lt;&gt;"",$T119&lt;&gt;"",$Y119=1),SUMPRODUCT(($A$8:$A119&lt;&gt;"")*($T$8:$T119&lt;&gt;"")*($Y$8:$Y119=1)),"")</f>
        <v/>
      </c>
    </row>
    <row r="120">
      <c r="A120" s="13" t="n"/>
      <c r="B120" s="13" t="n"/>
      <c r="C120" s="26" t="n"/>
      <c r="D120" s="26" t="n"/>
      <c r="E120" s="26" t="n"/>
      <c r="F120" s="13" t="n"/>
      <c r="G120" s="13" t="n"/>
      <c r="H120" s="13" t="n"/>
      <c r="I120" s="13" t="n"/>
      <c r="J120" s="23">
        <f>IF($A120="","",IFERROR(INDEX('Ref_Crosswalk'!$F$2:$F$500,MATCH($A120,'Ref_Crosswalk'!$A$2:$A$500,0)),"UNKNOWN"))</f>
        <v/>
      </c>
      <c r="K120" s="24">
        <f>IF($A120="","",IFERROR(INDEX('Ref_Tolerance'!$B$2:$B$9,MATCH($J120,'Ref_Tolerance'!$A$2:$A$9,0)),""))</f>
        <v/>
      </c>
      <c r="L120" s="23">
        <f>IF($A120="","",IFERROR(INDEX('Ref_Tolerance'!$D$2:$D$9,MATCH($J120,'Ref_Tolerance'!$A$2:$A$9,0)),""))</f>
        <v/>
      </c>
      <c r="M120" s="24">
        <f>IF($A120="","",IFERROR(ABS(N($D120))/N($C120),0))</f>
        <v/>
      </c>
      <c r="N120" s="24">
        <f>IF($A120="","",IFERROR(N($E120)/N($C120),0))</f>
        <v/>
      </c>
      <c r="O120" s="23">
        <f>IF($A120="",0,IFERROR(SUMPRODUCT(($A$8:$A$307=$A120)*($P$8:$P$307="FAIL")*($U$8:$U$307&gt;$V120)*($U$8:$U$307&lt;=$U120)),0))</f>
        <v/>
      </c>
      <c r="P120" s="23">
        <f>IF($A120="","",IFERROR(IF(NOT(ISNUMBER($K120)),"CHECK",IF($L120="MARGIN",IF($N120&lt;=$K120,"PASS","FAIL"),IF($M120&lt;=$K120,"PASS","FAIL"))),"CHECK"))</f>
        <v/>
      </c>
      <c r="Q120" s="23">
        <f>IF($A120="","",IFERROR(INDEX('Ref_Tolerance'!$E$2:$E$9,MATCH($J120,'Ref_Tolerance'!$A$2:$A$9,0)),""))</f>
        <v/>
      </c>
      <c r="R120" s="23">
        <f>IF($A120="","",IFERROR(IF($O120=0,"CLEAR",IF($O120=1,"MFR DUE - MANAGER",IF($O120=2,"MFR DUE - FSS/CC SIGNATURE REQUIRED","INVESTIGATION + REPORT OF SURVEY; MSG/CC NOTIFIED"))),""))</f>
        <v/>
      </c>
      <c r="S120" s="23">
        <f>IF($A120="","",IF($O120=2,"WATCH - ONE MORE MISS TRIGGERS INVESTIGATION",""))</f>
        <v/>
      </c>
      <c r="T120" s="23">
        <f>IF($A120="","",IFERROR(IF(AND($O120&gt;=1,$F120&lt;&gt;"Y"),"MFR NOT SUBMITTED",IF(AND($O120&gt;=2,$G120&lt;&gt;"Y"),"FSS/CC SIGNATURE MISSING",IF(AND($O120&gt;=3,$H120&lt;&gt;"Y"),"INVESTIGATION NOT OPENED",""))),""))</f>
        <v/>
      </c>
      <c r="U120" s="25">
        <f>IF($A120="",0,IFERROR(MATCH($B120,'Ref_Calendar'!$A$2:$A$500,0),0))</f>
        <v/>
      </c>
      <c r="V120" s="25">
        <f>IF($A120="",0,IFERROR(SUMPRODUCT(MAX(($A$8:$A$307=$A120)*($P$8:$P$307="PASS")*($U$8:$U$307&lt;=$U120)*$U$8:$U$307)),0))</f>
        <v/>
      </c>
      <c r="W120" s="25">
        <f>IF($A120="","",IFERROR(INDEX('Ref_Crosswalk'!$E$2:$E$500,MATCH($A120,'Ref_Crosswalk'!$A$2:$A$500,0)),""))</f>
        <v/>
      </c>
      <c r="X120" s="25">
        <f>IF($A120="","",IFERROR(INDEX('Ref_Crosswalk'!$C$2:$C$500,MATCH($A120,'Ref_Crosswalk'!$A$2:$A$500,0)),""))</f>
        <v/>
      </c>
      <c r="Y120" s="25">
        <f>IF($A120="",0,IF(AND(OR('Out_Dashboard'!$C$5="",$W120='Out_Dashboard'!$C$5),OR('Out_Dashboard'!$C$6="",$X120='Out_Dashboard'!$C$6),OR('Out_Dashboard'!$C$7="",$B120='Out_Dashboard'!$C$7)),1,0))</f>
        <v/>
      </c>
      <c r="Z120" s="25">
        <f>IF(AND($A120&lt;&gt;"",$S120&lt;&gt;"",$Y120=1),SUMPRODUCT(($A$8:$A120&lt;&gt;"")*($S$8:$S120&lt;&gt;"")*($Y$8:$Y120=1)),"")</f>
        <v/>
      </c>
      <c r="AA120" s="25">
        <f>IF(AND($A120&lt;&gt;"",$T120&lt;&gt;"",$Y120=1),SUMPRODUCT(($A$8:$A120&lt;&gt;"")*($T$8:$T120&lt;&gt;"")*($Y$8:$Y120=1)),"")</f>
        <v/>
      </c>
    </row>
    <row r="121">
      <c r="A121" s="13" t="n"/>
      <c r="B121" s="13" t="n"/>
      <c r="C121" s="26" t="n"/>
      <c r="D121" s="26" t="n"/>
      <c r="E121" s="26" t="n"/>
      <c r="F121" s="13" t="n"/>
      <c r="G121" s="13" t="n"/>
      <c r="H121" s="13" t="n"/>
      <c r="I121" s="13" t="n"/>
      <c r="J121" s="23">
        <f>IF($A121="","",IFERROR(INDEX('Ref_Crosswalk'!$F$2:$F$500,MATCH($A121,'Ref_Crosswalk'!$A$2:$A$500,0)),"UNKNOWN"))</f>
        <v/>
      </c>
      <c r="K121" s="24">
        <f>IF($A121="","",IFERROR(INDEX('Ref_Tolerance'!$B$2:$B$9,MATCH($J121,'Ref_Tolerance'!$A$2:$A$9,0)),""))</f>
        <v/>
      </c>
      <c r="L121" s="23">
        <f>IF($A121="","",IFERROR(INDEX('Ref_Tolerance'!$D$2:$D$9,MATCH($J121,'Ref_Tolerance'!$A$2:$A$9,0)),""))</f>
        <v/>
      </c>
      <c r="M121" s="24">
        <f>IF($A121="","",IFERROR(ABS(N($D121))/N($C121),0))</f>
        <v/>
      </c>
      <c r="N121" s="24">
        <f>IF($A121="","",IFERROR(N($E121)/N($C121),0))</f>
        <v/>
      </c>
      <c r="O121" s="23">
        <f>IF($A121="",0,IFERROR(SUMPRODUCT(($A$8:$A$307=$A121)*($P$8:$P$307="FAIL")*($U$8:$U$307&gt;$V121)*($U$8:$U$307&lt;=$U121)),0))</f>
        <v/>
      </c>
      <c r="P121" s="23">
        <f>IF($A121="","",IFERROR(IF(NOT(ISNUMBER($K121)),"CHECK",IF($L121="MARGIN",IF($N121&lt;=$K121,"PASS","FAIL"),IF($M121&lt;=$K121,"PASS","FAIL"))),"CHECK"))</f>
        <v/>
      </c>
      <c r="Q121" s="23">
        <f>IF($A121="","",IFERROR(INDEX('Ref_Tolerance'!$E$2:$E$9,MATCH($J121,'Ref_Tolerance'!$A$2:$A$9,0)),""))</f>
        <v/>
      </c>
      <c r="R121" s="23">
        <f>IF($A121="","",IFERROR(IF($O121=0,"CLEAR",IF($O121=1,"MFR DUE - MANAGER",IF($O121=2,"MFR DUE - FSS/CC SIGNATURE REQUIRED","INVESTIGATION + REPORT OF SURVEY; MSG/CC NOTIFIED"))),""))</f>
        <v/>
      </c>
      <c r="S121" s="23">
        <f>IF($A121="","",IF($O121=2,"WATCH - ONE MORE MISS TRIGGERS INVESTIGATION",""))</f>
        <v/>
      </c>
      <c r="T121" s="23">
        <f>IF($A121="","",IFERROR(IF(AND($O121&gt;=1,$F121&lt;&gt;"Y"),"MFR NOT SUBMITTED",IF(AND($O121&gt;=2,$G121&lt;&gt;"Y"),"FSS/CC SIGNATURE MISSING",IF(AND($O121&gt;=3,$H121&lt;&gt;"Y"),"INVESTIGATION NOT OPENED",""))),""))</f>
        <v/>
      </c>
      <c r="U121" s="25">
        <f>IF($A121="",0,IFERROR(MATCH($B121,'Ref_Calendar'!$A$2:$A$500,0),0))</f>
        <v/>
      </c>
      <c r="V121" s="25">
        <f>IF($A121="",0,IFERROR(SUMPRODUCT(MAX(($A$8:$A$307=$A121)*($P$8:$P$307="PASS")*($U$8:$U$307&lt;=$U121)*$U$8:$U$307)),0))</f>
        <v/>
      </c>
      <c r="W121" s="25">
        <f>IF($A121="","",IFERROR(INDEX('Ref_Crosswalk'!$E$2:$E$500,MATCH($A121,'Ref_Crosswalk'!$A$2:$A$500,0)),""))</f>
        <v/>
      </c>
      <c r="X121" s="25">
        <f>IF($A121="","",IFERROR(INDEX('Ref_Crosswalk'!$C$2:$C$500,MATCH($A121,'Ref_Crosswalk'!$A$2:$A$500,0)),""))</f>
        <v/>
      </c>
      <c r="Y121" s="25">
        <f>IF($A121="",0,IF(AND(OR('Out_Dashboard'!$C$5="",$W121='Out_Dashboard'!$C$5),OR('Out_Dashboard'!$C$6="",$X121='Out_Dashboard'!$C$6),OR('Out_Dashboard'!$C$7="",$B121='Out_Dashboard'!$C$7)),1,0))</f>
        <v/>
      </c>
      <c r="Z121" s="25">
        <f>IF(AND($A121&lt;&gt;"",$S121&lt;&gt;"",$Y121=1),SUMPRODUCT(($A$8:$A121&lt;&gt;"")*($S$8:$S121&lt;&gt;"")*($Y$8:$Y121=1)),"")</f>
        <v/>
      </c>
      <c r="AA121" s="25">
        <f>IF(AND($A121&lt;&gt;"",$T121&lt;&gt;"",$Y121=1),SUMPRODUCT(($A$8:$A121&lt;&gt;"")*($T$8:$T121&lt;&gt;"")*($Y$8:$Y121=1)),"")</f>
        <v/>
      </c>
    </row>
    <row r="122">
      <c r="A122" s="13" t="n"/>
      <c r="B122" s="13" t="n"/>
      <c r="C122" s="26" t="n"/>
      <c r="D122" s="26" t="n"/>
      <c r="E122" s="26" t="n"/>
      <c r="F122" s="13" t="n"/>
      <c r="G122" s="13" t="n"/>
      <c r="H122" s="13" t="n"/>
      <c r="I122" s="13" t="n"/>
      <c r="J122" s="23">
        <f>IF($A122="","",IFERROR(INDEX('Ref_Crosswalk'!$F$2:$F$500,MATCH($A122,'Ref_Crosswalk'!$A$2:$A$500,0)),"UNKNOWN"))</f>
        <v/>
      </c>
      <c r="K122" s="24">
        <f>IF($A122="","",IFERROR(INDEX('Ref_Tolerance'!$B$2:$B$9,MATCH($J122,'Ref_Tolerance'!$A$2:$A$9,0)),""))</f>
        <v/>
      </c>
      <c r="L122" s="23">
        <f>IF($A122="","",IFERROR(INDEX('Ref_Tolerance'!$D$2:$D$9,MATCH($J122,'Ref_Tolerance'!$A$2:$A$9,0)),""))</f>
        <v/>
      </c>
      <c r="M122" s="24">
        <f>IF($A122="","",IFERROR(ABS(N($D122))/N($C122),0))</f>
        <v/>
      </c>
      <c r="N122" s="24">
        <f>IF($A122="","",IFERROR(N($E122)/N($C122),0))</f>
        <v/>
      </c>
      <c r="O122" s="23">
        <f>IF($A122="",0,IFERROR(SUMPRODUCT(($A$8:$A$307=$A122)*($P$8:$P$307="FAIL")*($U$8:$U$307&gt;$V122)*($U$8:$U$307&lt;=$U122)),0))</f>
        <v/>
      </c>
      <c r="P122" s="23">
        <f>IF($A122="","",IFERROR(IF(NOT(ISNUMBER($K122)),"CHECK",IF($L122="MARGIN",IF($N122&lt;=$K122,"PASS","FAIL"),IF($M122&lt;=$K122,"PASS","FAIL"))),"CHECK"))</f>
        <v/>
      </c>
      <c r="Q122" s="23">
        <f>IF($A122="","",IFERROR(INDEX('Ref_Tolerance'!$E$2:$E$9,MATCH($J122,'Ref_Tolerance'!$A$2:$A$9,0)),""))</f>
        <v/>
      </c>
      <c r="R122" s="23">
        <f>IF($A122="","",IFERROR(IF($O122=0,"CLEAR",IF($O122=1,"MFR DUE - MANAGER",IF($O122=2,"MFR DUE - FSS/CC SIGNATURE REQUIRED","INVESTIGATION + REPORT OF SURVEY; MSG/CC NOTIFIED"))),""))</f>
        <v/>
      </c>
      <c r="S122" s="23">
        <f>IF($A122="","",IF($O122=2,"WATCH - ONE MORE MISS TRIGGERS INVESTIGATION",""))</f>
        <v/>
      </c>
      <c r="T122" s="23">
        <f>IF($A122="","",IFERROR(IF(AND($O122&gt;=1,$F122&lt;&gt;"Y"),"MFR NOT SUBMITTED",IF(AND($O122&gt;=2,$G122&lt;&gt;"Y"),"FSS/CC SIGNATURE MISSING",IF(AND($O122&gt;=3,$H122&lt;&gt;"Y"),"INVESTIGATION NOT OPENED",""))),""))</f>
        <v/>
      </c>
      <c r="U122" s="25">
        <f>IF($A122="",0,IFERROR(MATCH($B122,'Ref_Calendar'!$A$2:$A$500,0),0))</f>
        <v/>
      </c>
      <c r="V122" s="25">
        <f>IF($A122="",0,IFERROR(SUMPRODUCT(MAX(($A$8:$A$307=$A122)*($P$8:$P$307="PASS")*($U$8:$U$307&lt;=$U122)*$U$8:$U$307)),0))</f>
        <v/>
      </c>
      <c r="W122" s="25">
        <f>IF($A122="","",IFERROR(INDEX('Ref_Crosswalk'!$E$2:$E$500,MATCH($A122,'Ref_Crosswalk'!$A$2:$A$500,0)),""))</f>
        <v/>
      </c>
      <c r="X122" s="25">
        <f>IF($A122="","",IFERROR(INDEX('Ref_Crosswalk'!$C$2:$C$500,MATCH($A122,'Ref_Crosswalk'!$A$2:$A$500,0)),""))</f>
        <v/>
      </c>
      <c r="Y122" s="25">
        <f>IF($A122="",0,IF(AND(OR('Out_Dashboard'!$C$5="",$W122='Out_Dashboard'!$C$5),OR('Out_Dashboard'!$C$6="",$X122='Out_Dashboard'!$C$6),OR('Out_Dashboard'!$C$7="",$B122='Out_Dashboard'!$C$7)),1,0))</f>
        <v/>
      </c>
      <c r="Z122" s="25">
        <f>IF(AND($A122&lt;&gt;"",$S122&lt;&gt;"",$Y122=1),SUMPRODUCT(($A$8:$A122&lt;&gt;"")*($S$8:$S122&lt;&gt;"")*($Y$8:$Y122=1)),"")</f>
        <v/>
      </c>
      <c r="AA122" s="25">
        <f>IF(AND($A122&lt;&gt;"",$T122&lt;&gt;"",$Y122=1),SUMPRODUCT(($A$8:$A122&lt;&gt;"")*($T$8:$T122&lt;&gt;"")*($Y$8:$Y122=1)),"")</f>
        <v/>
      </c>
    </row>
    <row r="123">
      <c r="A123" s="13" t="n"/>
      <c r="B123" s="13" t="n"/>
      <c r="C123" s="26" t="n"/>
      <c r="D123" s="26" t="n"/>
      <c r="E123" s="26" t="n"/>
      <c r="F123" s="13" t="n"/>
      <c r="G123" s="13" t="n"/>
      <c r="H123" s="13" t="n"/>
      <c r="I123" s="13" t="n"/>
      <c r="J123" s="23">
        <f>IF($A123="","",IFERROR(INDEX('Ref_Crosswalk'!$F$2:$F$500,MATCH($A123,'Ref_Crosswalk'!$A$2:$A$500,0)),"UNKNOWN"))</f>
        <v/>
      </c>
      <c r="K123" s="24">
        <f>IF($A123="","",IFERROR(INDEX('Ref_Tolerance'!$B$2:$B$9,MATCH($J123,'Ref_Tolerance'!$A$2:$A$9,0)),""))</f>
        <v/>
      </c>
      <c r="L123" s="23">
        <f>IF($A123="","",IFERROR(INDEX('Ref_Tolerance'!$D$2:$D$9,MATCH($J123,'Ref_Tolerance'!$A$2:$A$9,0)),""))</f>
        <v/>
      </c>
      <c r="M123" s="24">
        <f>IF($A123="","",IFERROR(ABS(N($D123))/N($C123),0))</f>
        <v/>
      </c>
      <c r="N123" s="24">
        <f>IF($A123="","",IFERROR(N($E123)/N($C123),0))</f>
        <v/>
      </c>
      <c r="O123" s="23">
        <f>IF($A123="",0,IFERROR(SUMPRODUCT(($A$8:$A$307=$A123)*($P$8:$P$307="FAIL")*($U$8:$U$307&gt;$V123)*($U$8:$U$307&lt;=$U123)),0))</f>
        <v/>
      </c>
      <c r="P123" s="23">
        <f>IF($A123="","",IFERROR(IF(NOT(ISNUMBER($K123)),"CHECK",IF($L123="MARGIN",IF($N123&lt;=$K123,"PASS","FAIL"),IF($M123&lt;=$K123,"PASS","FAIL"))),"CHECK"))</f>
        <v/>
      </c>
      <c r="Q123" s="23">
        <f>IF($A123="","",IFERROR(INDEX('Ref_Tolerance'!$E$2:$E$9,MATCH($J123,'Ref_Tolerance'!$A$2:$A$9,0)),""))</f>
        <v/>
      </c>
      <c r="R123" s="23">
        <f>IF($A123="","",IFERROR(IF($O123=0,"CLEAR",IF($O123=1,"MFR DUE - MANAGER",IF($O123=2,"MFR DUE - FSS/CC SIGNATURE REQUIRED","INVESTIGATION + REPORT OF SURVEY; MSG/CC NOTIFIED"))),""))</f>
        <v/>
      </c>
      <c r="S123" s="23">
        <f>IF($A123="","",IF($O123=2,"WATCH - ONE MORE MISS TRIGGERS INVESTIGATION",""))</f>
        <v/>
      </c>
      <c r="T123" s="23">
        <f>IF($A123="","",IFERROR(IF(AND($O123&gt;=1,$F123&lt;&gt;"Y"),"MFR NOT SUBMITTED",IF(AND($O123&gt;=2,$G123&lt;&gt;"Y"),"FSS/CC SIGNATURE MISSING",IF(AND($O123&gt;=3,$H123&lt;&gt;"Y"),"INVESTIGATION NOT OPENED",""))),""))</f>
        <v/>
      </c>
      <c r="U123" s="25">
        <f>IF($A123="",0,IFERROR(MATCH($B123,'Ref_Calendar'!$A$2:$A$500,0),0))</f>
        <v/>
      </c>
      <c r="V123" s="25">
        <f>IF($A123="",0,IFERROR(SUMPRODUCT(MAX(($A$8:$A$307=$A123)*($P$8:$P$307="PASS")*($U$8:$U$307&lt;=$U123)*$U$8:$U$307)),0))</f>
        <v/>
      </c>
      <c r="W123" s="25">
        <f>IF($A123="","",IFERROR(INDEX('Ref_Crosswalk'!$E$2:$E$500,MATCH($A123,'Ref_Crosswalk'!$A$2:$A$500,0)),""))</f>
        <v/>
      </c>
      <c r="X123" s="25">
        <f>IF($A123="","",IFERROR(INDEX('Ref_Crosswalk'!$C$2:$C$500,MATCH($A123,'Ref_Crosswalk'!$A$2:$A$500,0)),""))</f>
        <v/>
      </c>
      <c r="Y123" s="25">
        <f>IF($A123="",0,IF(AND(OR('Out_Dashboard'!$C$5="",$W123='Out_Dashboard'!$C$5),OR('Out_Dashboard'!$C$6="",$X123='Out_Dashboard'!$C$6),OR('Out_Dashboard'!$C$7="",$B123='Out_Dashboard'!$C$7)),1,0))</f>
        <v/>
      </c>
      <c r="Z123" s="25">
        <f>IF(AND($A123&lt;&gt;"",$S123&lt;&gt;"",$Y123=1),SUMPRODUCT(($A$8:$A123&lt;&gt;"")*($S$8:$S123&lt;&gt;"")*($Y$8:$Y123=1)),"")</f>
        <v/>
      </c>
      <c r="AA123" s="25">
        <f>IF(AND($A123&lt;&gt;"",$T123&lt;&gt;"",$Y123=1),SUMPRODUCT(($A$8:$A123&lt;&gt;"")*($T$8:$T123&lt;&gt;"")*($Y$8:$Y123=1)),"")</f>
        <v/>
      </c>
    </row>
    <row r="124">
      <c r="A124" s="13" t="n"/>
      <c r="B124" s="13" t="n"/>
      <c r="C124" s="26" t="n"/>
      <c r="D124" s="26" t="n"/>
      <c r="E124" s="26" t="n"/>
      <c r="F124" s="13" t="n"/>
      <c r="G124" s="13" t="n"/>
      <c r="H124" s="13" t="n"/>
      <c r="I124" s="13" t="n"/>
      <c r="J124" s="23">
        <f>IF($A124="","",IFERROR(INDEX('Ref_Crosswalk'!$F$2:$F$500,MATCH($A124,'Ref_Crosswalk'!$A$2:$A$500,0)),"UNKNOWN"))</f>
        <v/>
      </c>
      <c r="K124" s="24">
        <f>IF($A124="","",IFERROR(INDEX('Ref_Tolerance'!$B$2:$B$9,MATCH($J124,'Ref_Tolerance'!$A$2:$A$9,0)),""))</f>
        <v/>
      </c>
      <c r="L124" s="23">
        <f>IF($A124="","",IFERROR(INDEX('Ref_Tolerance'!$D$2:$D$9,MATCH($J124,'Ref_Tolerance'!$A$2:$A$9,0)),""))</f>
        <v/>
      </c>
      <c r="M124" s="24">
        <f>IF($A124="","",IFERROR(ABS(N($D124))/N($C124),0))</f>
        <v/>
      </c>
      <c r="N124" s="24">
        <f>IF($A124="","",IFERROR(N($E124)/N($C124),0))</f>
        <v/>
      </c>
      <c r="O124" s="23">
        <f>IF($A124="",0,IFERROR(SUMPRODUCT(($A$8:$A$307=$A124)*($P$8:$P$307="FAIL")*($U$8:$U$307&gt;$V124)*($U$8:$U$307&lt;=$U124)),0))</f>
        <v/>
      </c>
      <c r="P124" s="23">
        <f>IF($A124="","",IFERROR(IF(NOT(ISNUMBER($K124)),"CHECK",IF($L124="MARGIN",IF($N124&lt;=$K124,"PASS","FAIL"),IF($M124&lt;=$K124,"PASS","FAIL"))),"CHECK"))</f>
        <v/>
      </c>
      <c r="Q124" s="23">
        <f>IF($A124="","",IFERROR(INDEX('Ref_Tolerance'!$E$2:$E$9,MATCH($J124,'Ref_Tolerance'!$A$2:$A$9,0)),""))</f>
        <v/>
      </c>
      <c r="R124" s="23">
        <f>IF($A124="","",IFERROR(IF($O124=0,"CLEAR",IF($O124=1,"MFR DUE - MANAGER",IF($O124=2,"MFR DUE - FSS/CC SIGNATURE REQUIRED","INVESTIGATION + REPORT OF SURVEY; MSG/CC NOTIFIED"))),""))</f>
        <v/>
      </c>
      <c r="S124" s="23">
        <f>IF($A124="","",IF($O124=2,"WATCH - ONE MORE MISS TRIGGERS INVESTIGATION",""))</f>
        <v/>
      </c>
      <c r="T124" s="23">
        <f>IF($A124="","",IFERROR(IF(AND($O124&gt;=1,$F124&lt;&gt;"Y"),"MFR NOT SUBMITTED",IF(AND($O124&gt;=2,$G124&lt;&gt;"Y"),"FSS/CC SIGNATURE MISSING",IF(AND($O124&gt;=3,$H124&lt;&gt;"Y"),"INVESTIGATION NOT OPENED",""))),""))</f>
        <v/>
      </c>
      <c r="U124" s="25">
        <f>IF($A124="",0,IFERROR(MATCH($B124,'Ref_Calendar'!$A$2:$A$500,0),0))</f>
        <v/>
      </c>
      <c r="V124" s="25">
        <f>IF($A124="",0,IFERROR(SUMPRODUCT(MAX(($A$8:$A$307=$A124)*($P$8:$P$307="PASS")*($U$8:$U$307&lt;=$U124)*$U$8:$U$307)),0))</f>
        <v/>
      </c>
      <c r="W124" s="25">
        <f>IF($A124="","",IFERROR(INDEX('Ref_Crosswalk'!$E$2:$E$500,MATCH($A124,'Ref_Crosswalk'!$A$2:$A$500,0)),""))</f>
        <v/>
      </c>
      <c r="X124" s="25">
        <f>IF($A124="","",IFERROR(INDEX('Ref_Crosswalk'!$C$2:$C$500,MATCH($A124,'Ref_Crosswalk'!$A$2:$A$500,0)),""))</f>
        <v/>
      </c>
      <c r="Y124" s="25">
        <f>IF($A124="",0,IF(AND(OR('Out_Dashboard'!$C$5="",$W124='Out_Dashboard'!$C$5),OR('Out_Dashboard'!$C$6="",$X124='Out_Dashboard'!$C$6),OR('Out_Dashboard'!$C$7="",$B124='Out_Dashboard'!$C$7)),1,0))</f>
        <v/>
      </c>
      <c r="Z124" s="25">
        <f>IF(AND($A124&lt;&gt;"",$S124&lt;&gt;"",$Y124=1),SUMPRODUCT(($A$8:$A124&lt;&gt;"")*($S$8:$S124&lt;&gt;"")*($Y$8:$Y124=1)),"")</f>
        <v/>
      </c>
      <c r="AA124" s="25">
        <f>IF(AND($A124&lt;&gt;"",$T124&lt;&gt;"",$Y124=1),SUMPRODUCT(($A$8:$A124&lt;&gt;"")*($T$8:$T124&lt;&gt;"")*($Y$8:$Y124=1)),"")</f>
        <v/>
      </c>
    </row>
    <row r="125">
      <c r="A125" s="13" t="n"/>
      <c r="B125" s="13" t="n"/>
      <c r="C125" s="26" t="n"/>
      <c r="D125" s="26" t="n"/>
      <c r="E125" s="26" t="n"/>
      <c r="F125" s="13" t="n"/>
      <c r="G125" s="13" t="n"/>
      <c r="H125" s="13" t="n"/>
      <c r="I125" s="13" t="n"/>
      <c r="J125" s="23">
        <f>IF($A125="","",IFERROR(INDEX('Ref_Crosswalk'!$F$2:$F$500,MATCH($A125,'Ref_Crosswalk'!$A$2:$A$500,0)),"UNKNOWN"))</f>
        <v/>
      </c>
      <c r="K125" s="24">
        <f>IF($A125="","",IFERROR(INDEX('Ref_Tolerance'!$B$2:$B$9,MATCH($J125,'Ref_Tolerance'!$A$2:$A$9,0)),""))</f>
        <v/>
      </c>
      <c r="L125" s="23">
        <f>IF($A125="","",IFERROR(INDEX('Ref_Tolerance'!$D$2:$D$9,MATCH($J125,'Ref_Tolerance'!$A$2:$A$9,0)),""))</f>
        <v/>
      </c>
      <c r="M125" s="24">
        <f>IF($A125="","",IFERROR(ABS(N($D125))/N($C125),0))</f>
        <v/>
      </c>
      <c r="N125" s="24">
        <f>IF($A125="","",IFERROR(N($E125)/N($C125),0))</f>
        <v/>
      </c>
      <c r="O125" s="23">
        <f>IF($A125="",0,IFERROR(SUMPRODUCT(($A$8:$A$307=$A125)*($P$8:$P$307="FAIL")*($U$8:$U$307&gt;$V125)*($U$8:$U$307&lt;=$U125)),0))</f>
        <v/>
      </c>
      <c r="P125" s="23">
        <f>IF($A125="","",IFERROR(IF(NOT(ISNUMBER($K125)),"CHECK",IF($L125="MARGIN",IF($N125&lt;=$K125,"PASS","FAIL"),IF($M125&lt;=$K125,"PASS","FAIL"))),"CHECK"))</f>
        <v/>
      </c>
      <c r="Q125" s="23">
        <f>IF($A125="","",IFERROR(INDEX('Ref_Tolerance'!$E$2:$E$9,MATCH($J125,'Ref_Tolerance'!$A$2:$A$9,0)),""))</f>
        <v/>
      </c>
      <c r="R125" s="23">
        <f>IF($A125="","",IFERROR(IF($O125=0,"CLEAR",IF($O125=1,"MFR DUE - MANAGER",IF($O125=2,"MFR DUE - FSS/CC SIGNATURE REQUIRED","INVESTIGATION + REPORT OF SURVEY; MSG/CC NOTIFIED"))),""))</f>
        <v/>
      </c>
      <c r="S125" s="23">
        <f>IF($A125="","",IF($O125=2,"WATCH - ONE MORE MISS TRIGGERS INVESTIGATION",""))</f>
        <v/>
      </c>
      <c r="T125" s="23">
        <f>IF($A125="","",IFERROR(IF(AND($O125&gt;=1,$F125&lt;&gt;"Y"),"MFR NOT SUBMITTED",IF(AND($O125&gt;=2,$G125&lt;&gt;"Y"),"FSS/CC SIGNATURE MISSING",IF(AND($O125&gt;=3,$H125&lt;&gt;"Y"),"INVESTIGATION NOT OPENED",""))),""))</f>
        <v/>
      </c>
      <c r="U125" s="25">
        <f>IF($A125="",0,IFERROR(MATCH($B125,'Ref_Calendar'!$A$2:$A$500,0),0))</f>
        <v/>
      </c>
      <c r="V125" s="25">
        <f>IF($A125="",0,IFERROR(SUMPRODUCT(MAX(($A$8:$A$307=$A125)*($P$8:$P$307="PASS")*($U$8:$U$307&lt;=$U125)*$U$8:$U$307)),0))</f>
        <v/>
      </c>
      <c r="W125" s="25">
        <f>IF($A125="","",IFERROR(INDEX('Ref_Crosswalk'!$E$2:$E$500,MATCH($A125,'Ref_Crosswalk'!$A$2:$A$500,0)),""))</f>
        <v/>
      </c>
      <c r="X125" s="25">
        <f>IF($A125="","",IFERROR(INDEX('Ref_Crosswalk'!$C$2:$C$500,MATCH($A125,'Ref_Crosswalk'!$A$2:$A$500,0)),""))</f>
        <v/>
      </c>
      <c r="Y125" s="25">
        <f>IF($A125="",0,IF(AND(OR('Out_Dashboard'!$C$5="",$W125='Out_Dashboard'!$C$5),OR('Out_Dashboard'!$C$6="",$X125='Out_Dashboard'!$C$6),OR('Out_Dashboard'!$C$7="",$B125='Out_Dashboard'!$C$7)),1,0))</f>
        <v/>
      </c>
      <c r="Z125" s="25">
        <f>IF(AND($A125&lt;&gt;"",$S125&lt;&gt;"",$Y125=1),SUMPRODUCT(($A$8:$A125&lt;&gt;"")*($S$8:$S125&lt;&gt;"")*($Y$8:$Y125=1)),"")</f>
        <v/>
      </c>
      <c r="AA125" s="25">
        <f>IF(AND($A125&lt;&gt;"",$T125&lt;&gt;"",$Y125=1),SUMPRODUCT(($A$8:$A125&lt;&gt;"")*($T$8:$T125&lt;&gt;"")*($Y$8:$Y125=1)),"")</f>
        <v/>
      </c>
    </row>
    <row r="126">
      <c r="A126" s="13" t="n"/>
      <c r="B126" s="13" t="n"/>
      <c r="C126" s="26" t="n"/>
      <c r="D126" s="26" t="n"/>
      <c r="E126" s="26" t="n"/>
      <c r="F126" s="13" t="n"/>
      <c r="G126" s="13" t="n"/>
      <c r="H126" s="13" t="n"/>
      <c r="I126" s="13" t="n"/>
      <c r="J126" s="23">
        <f>IF($A126="","",IFERROR(INDEX('Ref_Crosswalk'!$F$2:$F$500,MATCH($A126,'Ref_Crosswalk'!$A$2:$A$500,0)),"UNKNOWN"))</f>
        <v/>
      </c>
      <c r="K126" s="24">
        <f>IF($A126="","",IFERROR(INDEX('Ref_Tolerance'!$B$2:$B$9,MATCH($J126,'Ref_Tolerance'!$A$2:$A$9,0)),""))</f>
        <v/>
      </c>
      <c r="L126" s="23">
        <f>IF($A126="","",IFERROR(INDEX('Ref_Tolerance'!$D$2:$D$9,MATCH($J126,'Ref_Tolerance'!$A$2:$A$9,0)),""))</f>
        <v/>
      </c>
      <c r="M126" s="24">
        <f>IF($A126="","",IFERROR(ABS(N($D126))/N($C126),0))</f>
        <v/>
      </c>
      <c r="N126" s="24">
        <f>IF($A126="","",IFERROR(N($E126)/N($C126),0))</f>
        <v/>
      </c>
      <c r="O126" s="23">
        <f>IF($A126="",0,IFERROR(SUMPRODUCT(($A$8:$A$307=$A126)*($P$8:$P$307="FAIL")*($U$8:$U$307&gt;$V126)*($U$8:$U$307&lt;=$U126)),0))</f>
        <v/>
      </c>
      <c r="P126" s="23">
        <f>IF($A126="","",IFERROR(IF(NOT(ISNUMBER($K126)),"CHECK",IF($L126="MARGIN",IF($N126&lt;=$K126,"PASS","FAIL"),IF($M126&lt;=$K126,"PASS","FAIL"))),"CHECK"))</f>
        <v/>
      </c>
      <c r="Q126" s="23">
        <f>IF($A126="","",IFERROR(INDEX('Ref_Tolerance'!$E$2:$E$9,MATCH($J126,'Ref_Tolerance'!$A$2:$A$9,0)),""))</f>
        <v/>
      </c>
      <c r="R126" s="23">
        <f>IF($A126="","",IFERROR(IF($O126=0,"CLEAR",IF($O126=1,"MFR DUE - MANAGER",IF($O126=2,"MFR DUE - FSS/CC SIGNATURE REQUIRED","INVESTIGATION + REPORT OF SURVEY; MSG/CC NOTIFIED"))),""))</f>
        <v/>
      </c>
      <c r="S126" s="23">
        <f>IF($A126="","",IF($O126=2,"WATCH - ONE MORE MISS TRIGGERS INVESTIGATION",""))</f>
        <v/>
      </c>
      <c r="T126" s="23">
        <f>IF($A126="","",IFERROR(IF(AND($O126&gt;=1,$F126&lt;&gt;"Y"),"MFR NOT SUBMITTED",IF(AND($O126&gt;=2,$G126&lt;&gt;"Y"),"FSS/CC SIGNATURE MISSING",IF(AND($O126&gt;=3,$H126&lt;&gt;"Y"),"INVESTIGATION NOT OPENED",""))),""))</f>
        <v/>
      </c>
      <c r="U126" s="25">
        <f>IF($A126="",0,IFERROR(MATCH($B126,'Ref_Calendar'!$A$2:$A$500,0),0))</f>
        <v/>
      </c>
      <c r="V126" s="25">
        <f>IF($A126="",0,IFERROR(SUMPRODUCT(MAX(($A$8:$A$307=$A126)*($P$8:$P$307="PASS")*($U$8:$U$307&lt;=$U126)*$U$8:$U$307)),0))</f>
        <v/>
      </c>
      <c r="W126" s="25">
        <f>IF($A126="","",IFERROR(INDEX('Ref_Crosswalk'!$E$2:$E$500,MATCH($A126,'Ref_Crosswalk'!$A$2:$A$500,0)),""))</f>
        <v/>
      </c>
      <c r="X126" s="25">
        <f>IF($A126="","",IFERROR(INDEX('Ref_Crosswalk'!$C$2:$C$500,MATCH($A126,'Ref_Crosswalk'!$A$2:$A$500,0)),""))</f>
        <v/>
      </c>
      <c r="Y126" s="25">
        <f>IF($A126="",0,IF(AND(OR('Out_Dashboard'!$C$5="",$W126='Out_Dashboard'!$C$5),OR('Out_Dashboard'!$C$6="",$X126='Out_Dashboard'!$C$6),OR('Out_Dashboard'!$C$7="",$B126='Out_Dashboard'!$C$7)),1,0))</f>
        <v/>
      </c>
      <c r="Z126" s="25">
        <f>IF(AND($A126&lt;&gt;"",$S126&lt;&gt;"",$Y126=1),SUMPRODUCT(($A$8:$A126&lt;&gt;"")*($S$8:$S126&lt;&gt;"")*($Y$8:$Y126=1)),"")</f>
        <v/>
      </c>
      <c r="AA126" s="25">
        <f>IF(AND($A126&lt;&gt;"",$T126&lt;&gt;"",$Y126=1),SUMPRODUCT(($A$8:$A126&lt;&gt;"")*($T$8:$T126&lt;&gt;"")*($Y$8:$Y126=1)),"")</f>
        <v/>
      </c>
    </row>
    <row r="127">
      <c r="A127" s="13" t="n"/>
      <c r="B127" s="13" t="n"/>
      <c r="C127" s="26" t="n"/>
      <c r="D127" s="26" t="n"/>
      <c r="E127" s="26" t="n"/>
      <c r="F127" s="13" t="n"/>
      <c r="G127" s="13" t="n"/>
      <c r="H127" s="13" t="n"/>
      <c r="I127" s="13" t="n"/>
      <c r="J127" s="23">
        <f>IF($A127="","",IFERROR(INDEX('Ref_Crosswalk'!$F$2:$F$500,MATCH($A127,'Ref_Crosswalk'!$A$2:$A$500,0)),"UNKNOWN"))</f>
        <v/>
      </c>
      <c r="K127" s="24">
        <f>IF($A127="","",IFERROR(INDEX('Ref_Tolerance'!$B$2:$B$9,MATCH($J127,'Ref_Tolerance'!$A$2:$A$9,0)),""))</f>
        <v/>
      </c>
      <c r="L127" s="23">
        <f>IF($A127="","",IFERROR(INDEX('Ref_Tolerance'!$D$2:$D$9,MATCH($J127,'Ref_Tolerance'!$A$2:$A$9,0)),""))</f>
        <v/>
      </c>
      <c r="M127" s="24">
        <f>IF($A127="","",IFERROR(ABS(N($D127))/N($C127),0))</f>
        <v/>
      </c>
      <c r="N127" s="24">
        <f>IF($A127="","",IFERROR(N($E127)/N($C127),0))</f>
        <v/>
      </c>
      <c r="O127" s="23">
        <f>IF($A127="",0,IFERROR(SUMPRODUCT(($A$8:$A$307=$A127)*($P$8:$P$307="FAIL")*($U$8:$U$307&gt;$V127)*($U$8:$U$307&lt;=$U127)),0))</f>
        <v/>
      </c>
      <c r="P127" s="23">
        <f>IF($A127="","",IFERROR(IF(NOT(ISNUMBER($K127)),"CHECK",IF($L127="MARGIN",IF($N127&lt;=$K127,"PASS","FAIL"),IF($M127&lt;=$K127,"PASS","FAIL"))),"CHECK"))</f>
        <v/>
      </c>
      <c r="Q127" s="23">
        <f>IF($A127="","",IFERROR(INDEX('Ref_Tolerance'!$E$2:$E$9,MATCH($J127,'Ref_Tolerance'!$A$2:$A$9,0)),""))</f>
        <v/>
      </c>
      <c r="R127" s="23">
        <f>IF($A127="","",IFERROR(IF($O127=0,"CLEAR",IF($O127=1,"MFR DUE - MANAGER",IF($O127=2,"MFR DUE - FSS/CC SIGNATURE REQUIRED","INVESTIGATION + REPORT OF SURVEY; MSG/CC NOTIFIED"))),""))</f>
        <v/>
      </c>
      <c r="S127" s="23">
        <f>IF($A127="","",IF($O127=2,"WATCH - ONE MORE MISS TRIGGERS INVESTIGATION",""))</f>
        <v/>
      </c>
      <c r="T127" s="23">
        <f>IF($A127="","",IFERROR(IF(AND($O127&gt;=1,$F127&lt;&gt;"Y"),"MFR NOT SUBMITTED",IF(AND($O127&gt;=2,$G127&lt;&gt;"Y"),"FSS/CC SIGNATURE MISSING",IF(AND($O127&gt;=3,$H127&lt;&gt;"Y"),"INVESTIGATION NOT OPENED",""))),""))</f>
        <v/>
      </c>
      <c r="U127" s="25">
        <f>IF($A127="",0,IFERROR(MATCH($B127,'Ref_Calendar'!$A$2:$A$500,0),0))</f>
        <v/>
      </c>
      <c r="V127" s="25">
        <f>IF($A127="",0,IFERROR(SUMPRODUCT(MAX(($A$8:$A$307=$A127)*($P$8:$P$307="PASS")*($U$8:$U$307&lt;=$U127)*$U$8:$U$307)),0))</f>
        <v/>
      </c>
      <c r="W127" s="25">
        <f>IF($A127="","",IFERROR(INDEX('Ref_Crosswalk'!$E$2:$E$500,MATCH($A127,'Ref_Crosswalk'!$A$2:$A$500,0)),""))</f>
        <v/>
      </c>
      <c r="X127" s="25">
        <f>IF($A127="","",IFERROR(INDEX('Ref_Crosswalk'!$C$2:$C$500,MATCH($A127,'Ref_Crosswalk'!$A$2:$A$500,0)),""))</f>
        <v/>
      </c>
      <c r="Y127" s="25">
        <f>IF($A127="",0,IF(AND(OR('Out_Dashboard'!$C$5="",$W127='Out_Dashboard'!$C$5),OR('Out_Dashboard'!$C$6="",$X127='Out_Dashboard'!$C$6),OR('Out_Dashboard'!$C$7="",$B127='Out_Dashboard'!$C$7)),1,0))</f>
        <v/>
      </c>
      <c r="Z127" s="25">
        <f>IF(AND($A127&lt;&gt;"",$S127&lt;&gt;"",$Y127=1),SUMPRODUCT(($A$8:$A127&lt;&gt;"")*($S$8:$S127&lt;&gt;"")*($Y$8:$Y127=1)),"")</f>
        <v/>
      </c>
      <c r="AA127" s="25">
        <f>IF(AND($A127&lt;&gt;"",$T127&lt;&gt;"",$Y127=1),SUMPRODUCT(($A$8:$A127&lt;&gt;"")*($T$8:$T127&lt;&gt;"")*($Y$8:$Y127=1)),"")</f>
        <v/>
      </c>
    </row>
    <row r="128">
      <c r="A128" s="13" t="n"/>
      <c r="B128" s="13" t="n"/>
      <c r="C128" s="26" t="n"/>
      <c r="D128" s="26" t="n"/>
      <c r="E128" s="26" t="n"/>
      <c r="F128" s="13" t="n"/>
      <c r="G128" s="13" t="n"/>
      <c r="H128" s="13" t="n"/>
      <c r="I128" s="13" t="n"/>
      <c r="J128" s="23">
        <f>IF($A128="","",IFERROR(INDEX('Ref_Crosswalk'!$F$2:$F$500,MATCH($A128,'Ref_Crosswalk'!$A$2:$A$500,0)),"UNKNOWN"))</f>
        <v/>
      </c>
      <c r="K128" s="24">
        <f>IF($A128="","",IFERROR(INDEX('Ref_Tolerance'!$B$2:$B$9,MATCH($J128,'Ref_Tolerance'!$A$2:$A$9,0)),""))</f>
        <v/>
      </c>
      <c r="L128" s="23">
        <f>IF($A128="","",IFERROR(INDEX('Ref_Tolerance'!$D$2:$D$9,MATCH($J128,'Ref_Tolerance'!$A$2:$A$9,0)),""))</f>
        <v/>
      </c>
      <c r="M128" s="24">
        <f>IF($A128="","",IFERROR(ABS(N($D128))/N($C128),0))</f>
        <v/>
      </c>
      <c r="N128" s="24">
        <f>IF($A128="","",IFERROR(N($E128)/N($C128),0))</f>
        <v/>
      </c>
      <c r="O128" s="23">
        <f>IF($A128="",0,IFERROR(SUMPRODUCT(($A$8:$A$307=$A128)*($P$8:$P$307="FAIL")*($U$8:$U$307&gt;$V128)*($U$8:$U$307&lt;=$U128)),0))</f>
        <v/>
      </c>
      <c r="P128" s="23">
        <f>IF($A128="","",IFERROR(IF(NOT(ISNUMBER($K128)),"CHECK",IF($L128="MARGIN",IF($N128&lt;=$K128,"PASS","FAIL"),IF($M128&lt;=$K128,"PASS","FAIL"))),"CHECK"))</f>
        <v/>
      </c>
      <c r="Q128" s="23">
        <f>IF($A128="","",IFERROR(INDEX('Ref_Tolerance'!$E$2:$E$9,MATCH($J128,'Ref_Tolerance'!$A$2:$A$9,0)),""))</f>
        <v/>
      </c>
      <c r="R128" s="23">
        <f>IF($A128="","",IFERROR(IF($O128=0,"CLEAR",IF($O128=1,"MFR DUE - MANAGER",IF($O128=2,"MFR DUE - FSS/CC SIGNATURE REQUIRED","INVESTIGATION + REPORT OF SURVEY; MSG/CC NOTIFIED"))),""))</f>
        <v/>
      </c>
      <c r="S128" s="23">
        <f>IF($A128="","",IF($O128=2,"WATCH - ONE MORE MISS TRIGGERS INVESTIGATION",""))</f>
        <v/>
      </c>
      <c r="T128" s="23">
        <f>IF($A128="","",IFERROR(IF(AND($O128&gt;=1,$F128&lt;&gt;"Y"),"MFR NOT SUBMITTED",IF(AND($O128&gt;=2,$G128&lt;&gt;"Y"),"FSS/CC SIGNATURE MISSING",IF(AND($O128&gt;=3,$H128&lt;&gt;"Y"),"INVESTIGATION NOT OPENED",""))),""))</f>
        <v/>
      </c>
      <c r="U128" s="25">
        <f>IF($A128="",0,IFERROR(MATCH($B128,'Ref_Calendar'!$A$2:$A$500,0),0))</f>
        <v/>
      </c>
      <c r="V128" s="25">
        <f>IF($A128="",0,IFERROR(SUMPRODUCT(MAX(($A$8:$A$307=$A128)*($P$8:$P$307="PASS")*($U$8:$U$307&lt;=$U128)*$U$8:$U$307)),0))</f>
        <v/>
      </c>
      <c r="W128" s="25">
        <f>IF($A128="","",IFERROR(INDEX('Ref_Crosswalk'!$E$2:$E$500,MATCH($A128,'Ref_Crosswalk'!$A$2:$A$500,0)),""))</f>
        <v/>
      </c>
      <c r="X128" s="25">
        <f>IF($A128="","",IFERROR(INDEX('Ref_Crosswalk'!$C$2:$C$500,MATCH($A128,'Ref_Crosswalk'!$A$2:$A$500,0)),""))</f>
        <v/>
      </c>
      <c r="Y128" s="25">
        <f>IF($A128="",0,IF(AND(OR('Out_Dashboard'!$C$5="",$W128='Out_Dashboard'!$C$5),OR('Out_Dashboard'!$C$6="",$X128='Out_Dashboard'!$C$6),OR('Out_Dashboard'!$C$7="",$B128='Out_Dashboard'!$C$7)),1,0))</f>
        <v/>
      </c>
      <c r="Z128" s="25">
        <f>IF(AND($A128&lt;&gt;"",$S128&lt;&gt;"",$Y128=1),SUMPRODUCT(($A$8:$A128&lt;&gt;"")*($S$8:$S128&lt;&gt;"")*($Y$8:$Y128=1)),"")</f>
        <v/>
      </c>
      <c r="AA128" s="25">
        <f>IF(AND($A128&lt;&gt;"",$T128&lt;&gt;"",$Y128=1),SUMPRODUCT(($A$8:$A128&lt;&gt;"")*($T$8:$T128&lt;&gt;"")*($Y$8:$Y128=1)),"")</f>
        <v/>
      </c>
    </row>
    <row r="129">
      <c r="A129" s="13" t="n"/>
      <c r="B129" s="13" t="n"/>
      <c r="C129" s="26" t="n"/>
      <c r="D129" s="26" t="n"/>
      <c r="E129" s="26" t="n"/>
      <c r="F129" s="13" t="n"/>
      <c r="G129" s="13" t="n"/>
      <c r="H129" s="13" t="n"/>
      <c r="I129" s="13" t="n"/>
      <c r="J129" s="23">
        <f>IF($A129="","",IFERROR(INDEX('Ref_Crosswalk'!$F$2:$F$500,MATCH($A129,'Ref_Crosswalk'!$A$2:$A$500,0)),"UNKNOWN"))</f>
        <v/>
      </c>
      <c r="K129" s="24">
        <f>IF($A129="","",IFERROR(INDEX('Ref_Tolerance'!$B$2:$B$9,MATCH($J129,'Ref_Tolerance'!$A$2:$A$9,0)),""))</f>
        <v/>
      </c>
      <c r="L129" s="23">
        <f>IF($A129="","",IFERROR(INDEX('Ref_Tolerance'!$D$2:$D$9,MATCH($J129,'Ref_Tolerance'!$A$2:$A$9,0)),""))</f>
        <v/>
      </c>
      <c r="M129" s="24">
        <f>IF($A129="","",IFERROR(ABS(N($D129))/N($C129),0))</f>
        <v/>
      </c>
      <c r="N129" s="24">
        <f>IF($A129="","",IFERROR(N($E129)/N($C129),0))</f>
        <v/>
      </c>
      <c r="O129" s="23">
        <f>IF($A129="",0,IFERROR(SUMPRODUCT(($A$8:$A$307=$A129)*($P$8:$P$307="FAIL")*($U$8:$U$307&gt;$V129)*($U$8:$U$307&lt;=$U129)),0))</f>
        <v/>
      </c>
      <c r="P129" s="23">
        <f>IF($A129="","",IFERROR(IF(NOT(ISNUMBER($K129)),"CHECK",IF($L129="MARGIN",IF($N129&lt;=$K129,"PASS","FAIL"),IF($M129&lt;=$K129,"PASS","FAIL"))),"CHECK"))</f>
        <v/>
      </c>
      <c r="Q129" s="23">
        <f>IF($A129="","",IFERROR(INDEX('Ref_Tolerance'!$E$2:$E$9,MATCH($J129,'Ref_Tolerance'!$A$2:$A$9,0)),""))</f>
        <v/>
      </c>
      <c r="R129" s="23">
        <f>IF($A129="","",IFERROR(IF($O129=0,"CLEAR",IF($O129=1,"MFR DUE - MANAGER",IF($O129=2,"MFR DUE - FSS/CC SIGNATURE REQUIRED","INVESTIGATION + REPORT OF SURVEY; MSG/CC NOTIFIED"))),""))</f>
        <v/>
      </c>
      <c r="S129" s="23">
        <f>IF($A129="","",IF($O129=2,"WATCH - ONE MORE MISS TRIGGERS INVESTIGATION",""))</f>
        <v/>
      </c>
      <c r="T129" s="23">
        <f>IF($A129="","",IFERROR(IF(AND($O129&gt;=1,$F129&lt;&gt;"Y"),"MFR NOT SUBMITTED",IF(AND($O129&gt;=2,$G129&lt;&gt;"Y"),"FSS/CC SIGNATURE MISSING",IF(AND($O129&gt;=3,$H129&lt;&gt;"Y"),"INVESTIGATION NOT OPENED",""))),""))</f>
        <v/>
      </c>
      <c r="U129" s="25">
        <f>IF($A129="",0,IFERROR(MATCH($B129,'Ref_Calendar'!$A$2:$A$500,0),0))</f>
        <v/>
      </c>
      <c r="V129" s="25">
        <f>IF($A129="",0,IFERROR(SUMPRODUCT(MAX(($A$8:$A$307=$A129)*($P$8:$P$307="PASS")*($U$8:$U$307&lt;=$U129)*$U$8:$U$307)),0))</f>
        <v/>
      </c>
      <c r="W129" s="25">
        <f>IF($A129="","",IFERROR(INDEX('Ref_Crosswalk'!$E$2:$E$500,MATCH($A129,'Ref_Crosswalk'!$A$2:$A$500,0)),""))</f>
        <v/>
      </c>
      <c r="X129" s="25">
        <f>IF($A129="","",IFERROR(INDEX('Ref_Crosswalk'!$C$2:$C$500,MATCH($A129,'Ref_Crosswalk'!$A$2:$A$500,0)),""))</f>
        <v/>
      </c>
      <c r="Y129" s="25">
        <f>IF($A129="",0,IF(AND(OR('Out_Dashboard'!$C$5="",$W129='Out_Dashboard'!$C$5),OR('Out_Dashboard'!$C$6="",$X129='Out_Dashboard'!$C$6),OR('Out_Dashboard'!$C$7="",$B129='Out_Dashboard'!$C$7)),1,0))</f>
        <v/>
      </c>
      <c r="Z129" s="25">
        <f>IF(AND($A129&lt;&gt;"",$S129&lt;&gt;"",$Y129=1),SUMPRODUCT(($A$8:$A129&lt;&gt;"")*($S$8:$S129&lt;&gt;"")*($Y$8:$Y129=1)),"")</f>
        <v/>
      </c>
      <c r="AA129" s="25">
        <f>IF(AND($A129&lt;&gt;"",$T129&lt;&gt;"",$Y129=1),SUMPRODUCT(($A$8:$A129&lt;&gt;"")*($T$8:$T129&lt;&gt;"")*($Y$8:$Y129=1)),"")</f>
        <v/>
      </c>
    </row>
    <row r="130">
      <c r="A130" s="13" t="n"/>
      <c r="B130" s="13" t="n"/>
      <c r="C130" s="26" t="n"/>
      <c r="D130" s="26" t="n"/>
      <c r="E130" s="26" t="n"/>
      <c r="F130" s="13" t="n"/>
      <c r="G130" s="13" t="n"/>
      <c r="H130" s="13" t="n"/>
      <c r="I130" s="13" t="n"/>
      <c r="J130" s="23">
        <f>IF($A130="","",IFERROR(INDEX('Ref_Crosswalk'!$F$2:$F$500,MATCH($A130,'Ref_Crosswalk'!$A$2:$A$500,0)),"UNKNOWN"))</f>
        <v/>
      </c>
      <c r="K130" s="24">
        <f>IF($A130="","",IFERROR(INDEX('Ref_Tolerance'!$B$2:$B$9,MATCH($J130,'Ref_Tolerance'!$A$2:$A$9,0)),""))</f>
        <v/>
      </c>
      <c r="L130" s="23">
        <f>IF($A130="","",IFERROR(INDEX('Ref_Tolerance'!$D$2:$D$9,MATCH($J130,'Ref_Tolerance'!$A$2:$A$9,0)),""))</f>
        <v/>
      </c>
      <c r="M130" s="24">
        <f>IF($A130="","",IFERROR(ABS(N($D130))/N($C130),0))</f>
        <v/>
      </c>
      <c r="N130" s="24">
        <f>IF($A130="","",IFERROR(N($E130)/N($C130),0))</f>
        <v/>
      </c>
      <c r="O130" s="23">
        <f>IF($A130="",0,IFERROR(SUMPRODUCT(($A$8:$A$307=$A130)*($P$8:$P$307="FAIL")*($U$8:$U$307&gt;$V130)*($U$8:$U$307&lt;=$U130)),0))</f>
        <v/>
      </c>
      <c r="P130" s="23">
        <f>IF($A130="","",IFERROR(IF(NOT(ISNUMBER($K130)),"CHECK",IF($L130="MARGIN",IF($N130&lt;=$K130,"PASS","FAIL"),IF($M130&lt;=$K130,"PASS","FAIL"))),"CHECK"))</f>
        <v/>
      </c>
      <c r="Q130" s="23">
        <f>IF($A130="","",IFERROR(INDEX('Ref_Tolerance'!$E$2:$E$9,MATCH($J130,'Ref_Tolerance'!$A$2:$A$9,0)),""))</f>
        <v/>
      </c>
      <c r="R130" s="23">
        <f>IF($A130="","",IFERROR(IF($O130=0,"CLEAR",IF($O130=1,"MFR DUE - MANAGER",IF($O130=2,"MFR DUE - FSS/CC SIGNATURE REQUIRED","INVESTIGATION + REPORT OF SURVEY; MSG/CC NOTIFIED"))),""))</f>
        <v/>
      </c>
      <c r="S130" s="23">
        <f>IF($A130="","",IF($O130=2,"WATCH - ONE MORE MISS TRIGGERS INVESTIGATION",""))</f>
        <v/>
      </c>
      <c r="T130" s="23">
        <f>IF($A130="","",IFERROR(IF(AND($O130&gt;=1,$F130&lt;&gt;"Y"),"MFR NOT SUBMITTED",IF(AND($O130&gt;=2,$G130&lt;&gt;"Y"),"FSS/CC SIGNATURE MISSING",IF(AND($O130&gt;=3,$H130&lt;&gt;"Y"),"INVESTIGATION NOT OPENED",""))),""))</f>
        <v/>
      </c>
      <c r="U130" s="25">
        <f>IF($A130="",0,IFERROR(MATCH($B130,'Ref_Calendar'!$A$2:$A$500,0),0))</f>
        <v/>
      </c>
      <c r="V130" s="25">
        <f>IF($A130="",0,IFERROR(SUMPRODUCT(MAX(($A$8:$A$307=$A130)*($P$8:$P$307="PASS")*($U$8:$U$307&lt;=$U130)*$U$8:$U$307)),0))</f>
        <v/>
      </c>
      <c r="W130" s="25">
        <f>IF($A130="","",IFERROR(INDEX('Ref_Crosswalk'!$E$2:$E$500,MATCH($A130,'Ref_Crosswalk'!$A$2:$A$500,0)),""))</f>
        <v/>
      </c>
      <c r="X130" s="25">
        <f>IF($A130="","",IFERROR(INDEX('Ref_Crosswalk'!$C$2:$C$500,MATCH($A130,'Ref_Crosswalk'!$A$2:$A$500,0)),""))</f>
        <v/>
      </c>
      <c r="Y130" s="25">
        <f>IF($A130="",0,IF(AND(OR('Out_Dashboard'!$C$5="",$W130='Out_Dashboard'!$C$5),OR('Out_Dashboard'!$C$6="",$X130='Out_Dashboard'!$C$6),OR('Out_Dashboard'!$C$7="",$B130='Out_Dashboard'!$C$7)),1,0))</f>
        <v/>
      </c>
      <c r="Z130" s="25">
        <f>IF(AND($A130&lt;&gt;"",$S130&lt;&gt;"",$Y130=1),SUMPRODUCT(($A$8:$A130&lt;&gt;"")*($S$8:$S130&lt;&gt;"")*($Y$8:$Y130=1)),"")</f>
        <v/>
      </c>
      <c r="AA130" s="25">
        <f>IF(AND($A130&lt;&gt;"",$T130&lt;&gt;"",$Y130=1),SUMPRODUCT(($A$8:$A130&lt;&gt;"")*($T$8:$T130&lt;&gt;"")*($Y$8:$Y130=1)),"")</f>
        <v/>
      </c>
    </row>
    <row r="131">
      <c r="A131" s="13" t="n"/>
      <c r="B131" s="13" t="n"/>
      <c r="C131" s="26" t="n"/>
      <c r="D131" s="26" t="n"/>
      <c r="E131" s="26" t="n"/>
      <c r="F131" s="13" t="n"/>
      <c r="G131" s="13" t="n"/>
      <c r="H131" s="13" t="n"/>
      <c r="I131" s="13" t="n"/>
      <c r="J131" s="23">
        <f>IF($A131="","",IFERROR(INDEX('Ref_Crosswalk'!$F$2:$F$500,MATCH($A131,'Ref_Crosswalk'!$A$2:$A$500,0)),"UNKNOWN"))</f>
        <v/>
      </c>
      <c r="K131" s="24">
        <f>IF($A131="","",IFERROR(INDEX('Ref_Tolerance'!$B$2:$B$9,MATCH($J131,'Ref_Tolerance'!$A$2:$A$9,0)),""))</f>
        <v/>
      </c>
      <c r="L131" s="23">
        <f>IF($A131="","",IFERROR(INDEX('Ref_Tolerance'!$D$2:$D$9,MATCH($J131,'Ref_Tolerance'!$A$2:$A$9,0)),""))</f>
        <v/>
      </c>
      <c r="M131" s="24">
        <f>IF($A131="","",IFERROR(ABS(N($D131))/N($C131),0))</f>
        <v/>
      </c>
      <c r="N131" s="24">
        <f>IF($A131="","",IFERROR(N($E131)/N($C131),0))</f>
        <v/>
      </c>
      <c r="O131" s="23">
        <f>IF($A131="",0,IFERROR(SUMPRODUCT(($A$8:$A$307=$A131)*($P$8:$P$307="FAIL")*($U$8:$U$307&gt;$V131)*($U$8:$U$307&lt;=$U131)),0))</f>
        <v/>
      </c>
      <c r="P131" s="23">
        <f>IF($A131="","",IFERROR(IF(NOT(ISNUMBER($K131)),"CHECK",IF($L131="MARGIN",IF($N131&lt;=$K131,"PASS","FAIL"),IF($M131&lt;=$K131,"PASS","FAIL"))),"CHECK"))</f>
        <v/>
      </c>
      <c r="Q131" s="23">
        <f>IF($A131="","",IFERROR(INDEX('Ref_Tolerance'!$E$2:$E$9,MATCH($J131,'Ref_Tolerance'!$A$2:$A$9,0)),""))</f>
        <v/>
      </c>
      <c r="R131" s="23">
        <f>IF($A131="","",IFERROR(IF($O131=0,"CLEAR",IF($O131=1,"MFR DUE - MANAGER",IF($O131=2,"MFR DUE - FSS/CC SIGNATURE REQUIRED","INVESTIGATION + REPORT OF SURVEY; MSG/CC NOTIFIED"))),""))</f>
        <v/>
      </c>
      <c r="S131" s="23">
        <f>IF($A131="","",IF($O131=2,"WATCH - ONE MORE MISS TRIGGERS INVESTIGATION",""))</f>
        <v/>
      </c>
      <c r="T131" s="23">
        <f>IF($A131="","",IFERROR(IF(AND($O131&gt;=1,$F131&lt;&gt;"Y"),"MFR NOT SUBMITTED",IF(AND($O131&gt;=2,$G131&lt;&gt;"Y"),"FSS/CC SIGNATURE MISSING",IF(AND($O131&gt;=3,$H131&lt;&gt;"Y"),"INVESTIGATION NOT OPENED",""))),""))</f>
        <v/>
      </c>
      <c r="U131" s="25">
        <f>IF($A131="",0,IFERROR(MATCH($B131,'Ref_Calendar'!$A$2:$A$500,0),0))</f>
        <v/>
      </c>
      <c r="V131" s="25">
        <f>IF($A131="",0,IFERROR(SUMPRODUCT(MAX(($A$8:$A$307=$A131)*($P$8:$P$307="PASS")*($U$8:$U$307&lt;=$U131)*$U$8:$U$307)),0))</f>
        <v/>
      </c>
      <c r="W131" s="25">
        <f>IF($A131="","",IFERROR(INDEX('Ref_Crosswalk'!$E$2:$E$500,MATCH($A131,'Ref_Crosswalk'!$A$2:$A$500,0)),""))</f>
        <v/>
      </c>
      <c r="X131" s="25">
        <f>IF($A131="","",IFERROR(INDEX('Ref_Crosswalk'!$C$2:$C$500,MATCH($A131,'Ref_Crosswalk'!$A$2:$A$500,0)),""))</f>
        <v/>
      </c>
      <c r="Y131" s="25">
        <f>IF($A131="",0,IF(AND(OR('Out_Dashboard'!$C$5="",$W131='Out_Dashboard'!$C$5),OR('Out_Dashboard'!$C$6="",$X131='Out_Dashboard'!$C$6),OR('Out_Dashboard'!$C$7="",$B131='Out_Dashboard'!$C$7)),1,0))</f>
        <v/>
      </c>
      <c r="Z131" s="25">
        <f>IF(AND($A131&lt;&gt;"",$S131&lt;&gt;"",$Y131=1),SUMPRODUCT(($A$8:$A131&lt;&gt;"")*($S$8:$S131&lt;&gt;"")*($Y$8:$Y131=1)),"")</f>
        <v/>
      </c>
      <c r="AA131" s="25">
        <f>IF(AND($A131&lt;&gt;"",$T131&lt;&gt;"",$Y131=1),SUMPRODUCT(($A$8:$A131&lt;&gt;"")*($T$8:$T131&lt;&gt;"")*($Y$8:$Y131=1)),"")</f>
        <v/>
      </c>
    </row>
    <row r="132">
      <c r="A132" s="13" t="n"/>
      <c r="B132" s="13" t="n"/>
      <c r="C132" s="26" t="n"/>
      <c r="D132" s="26" t="n"/>
      <c r="E132" s="26" t="n"/>
      <c r="F132" s="13" t="n"/>
      <c r="G132" s="13" t="n"/>
      <c r="H132" s="13" t="n"/>
      <c r="I132" s="13" t="n"/>
      <c r="J132" s="23">
        <f>IF($A132="","",IFERROR(INDEX('Ref_Crosswalk'!$F$2:$F$500,MATCH($A132,'Ref_Crosswalk'!$A$2:$A$500,0)),"UNKNOWN"))</f>
        <v/>
      </c>
      <c r="K132" s="24">
        <f>IF($A132="","",IFERROR(INDEX('Ref_Tolerance'!$B$2:$B$9,MATCH($J132,'Ref_Tolerance'!$A$2:$A$9,0)),""))</f>
        <v/>
      </c>
      <c r="L132" s="23">
        <f>IF($A132="","",IFERROR(INDEX('Ref_Tolerance'!$D$2:$D$9,MATCH($J132,'Ref_Tolerance'!$A$2:$A$9,0)),""))</f>
        <v/>
      </c>
      <c r="M132" s="24">
        <f>IF($A132="","",IFERROR(ABS(N($D132))/N($C132),0))</f>
        <v/>
      </c>
      <c r="N132" s="24">
        <f>IF($A132="","",IFERROR(N($E132)/N($C132),0))</f>
        <v/>
      </c>
      <c r="O132" s="23">
        <f>IF($A132="",0,IFERROR(SUMPRODUCT(($A$8:$A$307=$A132)*($P$8:$P$307="FAIL")*($U$8:$U$307&gt;$V132)*($U$8:$U$307&lt;=$U132)),0))</f>
        <v/>
      </c>
      <c r="P132" s="23">
        <f>IF($A132="","",IFERROR(IF(NOT(ISNUMBER($K132)),"CHECK",IF($L132="MARGIN",IF($N132&lt;=$K132,"PASS","FAIL"),IF($M132&lt;=$K132,"PASS","FAIL"))),"CHECK"))</f>
        <v/>
      </c>
      <c r="Q132" s="23">
        <f>IF($A132="","",IFERROR(INDEX('Ref_Tolerance'!$E$2:$E$9,MATCH($J132,'Ref_Tolerance'!$A$2:$A$9,0)),""))</f>
        <v/>
      </c>
      <c r="R132" s="23">
        <f>IF($A132="","",IFERROR(IF($O132=0,"CLEAR",IF($O132=1,"MFR DUE - MANAGER",IF($O132=2,"MFR DUE - FSS/CC SIGNATURE REQUIRED","INVESTIGATION + REPORT OF SURVEY; MSG/CC NOTIFIED"))),""))</f>
        <v/>
      </c>
      <c r="S132" s="23">
        <f>IF($A132="","",IF($O132=2,"WATCH - ONE MORE MISS TRIGGERS INVESTIGATION",""))</f>
        <v/>
      </c>
      <c r="T132" s="23">
        <f>IF($A132="","",IFERROR(IF(AND($O132&gt;=1,$F132&lt;&gt;"Y"),"MFR NOT SUBMITTED",IF(AND($O132&gt;=2,$G132&lt;&gt;"Y"),"FSS/CC SIGNATURE MISSING",IF(AND($O132&gt;=3,$H132&lt;&gt;"Y"),"INVESTIGATION NOT OPENED",""))),""))</f>
        <v/>
      </c>
      <c r="U132" s="25">
        <f>IF($A132="",0,IFERROR(MATCH($B132,'Ref_Calendar'!$A$2:$A$500,0),0))</f>
        <v/>
      </c>
      <c r="V132" s="25">
        <f>IF($A132="",0,IFERROR(SUMPRODUCT(MAX(($A$8:$A$307=$A132)*($P$8:$P$307="PASS")*($U$8:$U$307&lt;=$U132)*$U$8:$U$307)),0))</f>
        <v/>
      </c>
      <c r="W132" s="25">
        <f>IF($A132="","",IFERROR(INDEX('Ref_Crosswalk'!$E$2:$E$500,MATCH($A132,'Ref_Crosswalk'!$A$2:$A$500,0)),""))</f>
        <v/>
      </c>
      <c r="X132" s="25">
        <f>IF($A132="","",IFERROR(INDEX('Ref_Crosswalk'!$C$2:$C$500,MATCH($A132,'Ref_Crosswalk'!$A$2:$A$500,0)),""))</f>
        <v/>
      </c>
      <c r="Y132" s="25">
        <f>IF($A132="",0,IF(AND(OR('Out_Dashboard'!$C$5="",$W132='Out_Dashboard'!$C$5),OR('Out_Dashboard'!$C$6="",$X132='Out_Dashboard'!$C$6),OR('Out_Dashboard'!$C$7="",$B132='Out_Dashboard'!$C$7)),1,0))</f>
        <v/>
      </c>
      <c r="Z132" s="25">
        <f>IF(AND($A132&lt;&gt;"",$S132&lt;&gt;"",$Y132=1),SUMPRODUCT(($A$8:$A132&lt;&gt;"")*($S$8:$S132&lt;&gt;"")*($Y$8:$Y132=1)),"")</f>
        <v/>
      </c>
      <c r="AA132" s="25">
        <f>IF(AND($A132&lt;&gt;"",$T132&lt;&gt;"",$Y132=1),SUMPRODUCT(($A$8:$A132&lt;&gt;"")*($T$8:$T132&lt;&gt;"")*($Y$8:$Y132=1)),"")</f>
        <v/>
      </c>
    </row>
    <row r="133">
      <c r="A133" s="13" t="n"/>
      <c r="B133" s="13" t="n"/>
      <c r="C133" s="26" t="n"/>
      <c r="D133" s="26" t="n"/>
      <c r="E133" s="26" t="n"/>
      <c r="F133" s="13" t="n"/>
      <c r="G133" s="13" t="n"/>
      <c r="H133" s="13" t="n"/>
      <c r="I133" s="13" t="n"/>
      <c r="J133" s="23">
        <f>IF($A133="","",IFERROR(INDEX('Ref_Crosswalk'!$F$2:$F$500,MATCH($A133,'Ref_Crosswalk'!$A$2:$A$500,0)),"UNKNOWN"))</f>
        <v/>
      </c>
      <c r="K133" s="24">
        <f>IF($A133="","",IFERROR(INDEX('Ref_Tolerance'!$B$2:$B$9,MATCH($J133,'Ref_Tolerance'!$A$2:$A$9,0)),""))</f>
        <v/>
      </c>
      <c r="L133" s="23">
        <f>IF($A133="","",IFERROR(INDEX('Ref_Tolerance'!$D$2:$D$9,MATCH($J133,'Ref_Tolerance'!$A$2:$A$9,0)),""))</f>
        <v/>
      </c>
      <c r="M133" s="24">
        <f>IF($A133="","",IFERROR(ABS(N($D133))/N($C133),0))</f>
        <v/>
      </c>
      <c r="N133" s="24">
        <f>IF($A133="","",IFERROR(N($E133)/N($C133),0))</f>
        <v/>
      </c>
      <c r="O133" s="23">
        <f>IF($A133="",0,IFERROR(SUMPRODUCT(($A$8:$A$307=$A133)*($P$8:$P$307="FAIL")*($U$8:$U$307&gt;$V133)*($U$8:$U$307&lt;=$U133)),0))</f>
        <v/>
      </c>
      <c r="P133" s="23">
        <f>IF($A133="","",IFERROR(IF(NOT(ISNUMBER($K133)),"CHECK",IF($L133="MARGIN",IF($N133&lt;=$K133,"PASS","FAIL"),IF($M133&lt;=$K133,"PASS","FAIL"))),"CHECK"))</f>
        <v/>
      </c>
      <c r="Q133" s="23">
        <f>IF($A133="","",IFERROR(INDEX('Ref_Tolerance'!$E$2:$E$9,MATCH($J133,'Ref_Tolerance'!$A$2:$A$9,0)),""))</f>
        <v/>
      </c>
      <c r="R133" s="23">
        <f>IF($A133="","",IFERROR(IF($O133=0,"CLEAR",IF($O133=1,"MFR DUE - MANAGER",IF($O133=2,"MFR DUE - FSS/CC SIGNATURE REQUIRED","INVESTIGATION + REPORT OF SURVEY; MSG/CC NOTIFIED"))),""))</f>
        <v/>
      </c>
      <c r="S133" s="23">
        <f>IF($A133="","",IF($O133=2,"WATCH - ONE MORE MISS TRIGGERS INVESTIGATION",""))</f>
        <v/>
      </c>
      <c r="T133" s="23">
        <f>IF($A133="","",IFERROR(IF(AND($O133&gt;=1,$F133&lt;&gt;"Y"),"MFR NOT SUBMITTED",IF(AND($O133&gt;=2,$G133&lt;&gt;"Y"),"FSS/CC SIGNATURE MISSING",IF(AND($O133&gt;=3,$H133&lt;&gt;"Y"),"INVESTIGATION NOT OPENED",""))),""))</f>
        <v/>
      </c>
      <c r="U133" s="25">
        <f>IF($A133="",0,IFERROR(MATCH($B133,'Ref_Calendar'!$A$2:$A$500,0),0))</f>
        <v/>
      </c>
      <c r="V133" s="25">
        <f>IF($A133="",0,IFERROR(SUMPRODUCT(MAX(($A$8:$A$307=$A133)*($P$8:$P$307="PASS")*($U$8:$U$307&lt;=$U133)*$U$8:$U$307)),0))</f>
        <v/>
      </c>
      <c r="W133" s="25">
        <f>IF($A133="","",IFERROR(INDEX('Ref_Crosswalk'!$E$2:$E$500,MATCH($A133,'Ref_Crosswalk'!$A$2:$A$500,0)),""))</f>
        <v/>
      </c>
      <c r="X133" s="25">
        <f>IF($A133="","",IFERROR(INDEX('Ref_Crosswalk'!$C$2:$C$500,MATCH($A133,'Ref_Crosswalk'!$A$2:$A$500,0)),""))</f>
        <v/>
      </c>
      <c r="Y133" s="25">
        <f>IF($A133="",0,IF(AND(OR('Out_Dashboard'!$C$5="",$W133='Out_Dashboard'!$C$5),OR('Out_Dashboard'!$C$6="",$X133='Out_Dashboard'!$C$6),OR('Out_Dashboard'!$C$7="",$B133='Out_Dashboard'!$C$7)),1,0))</f>
        <v/>
      </c>
      <c r="Z133" s="25">
        <f>IF(AND($A133&lt;&gt;"",$S133&lt;&gt;"",$Y133=1),SUMPRODUCT(($A$8:$A133&lt;&gt;"")*($S$8:$S133&lt;&gt;"")*($Y$8:$Y133=1)),"")</f>
        <v/>
      </c>
      <c r="AA133" s="25">
        <f>IF(AND($A133&lt;&gt;"",$T133&lt;&gt;"",$Y133=1),SUMPRODUCT(($A$8:$A133&lt;&gt;"")*($T$8:$T133&lt;&gt;"")*($Y$8:$Y133=1)),"")</f>
        <v/>
      </c>
    </row>
    <row r="134">
      <c r="A134" s="13" t="n"/>
      <c r="B134" s="13" t="n"/>
      <c r="C134" s="26" t="n"/>
      <c r="D134" s="26" t="n"/>
      <c r="E134" s="26" t="n"/>
      <c r="F134" s="13" t="n"/>
      <c r="G134" s="13" t="n"/>
      <c r="H134" s="13" t="n"/>
      <c r="I134" s="13" t="n"/>
      <c r="J134" s="23">
        <f>IF($A134="","",IFERROR(INDEX('Ref_Crosswalk'!$F$2:$F$500,MATCH($A134,'Ref_Crosswalk'!$A$2:$A$500,0)),"UNKNOWN"))</f>
        <v/>
      </c>
      <c r="K134" s="24">
        <f>IF($A134="","",IFERROR(INDEX('Ref_Tolerance'!$B$2:$B$9,MATCH($J134,'Ref_Tolerance'!$A$2:$A$9,0)),""))</f>
        <v/>
      </c>
      <c r="L134" s="23">
        <f>IF($A134="","",IFERROR(INDEX('Ref_Tolerance'!$D$2:$D$9,MATCH($J134,'Ref_Tolerance'!$A$2:$A$9,0)),""))</f>
        <v/>
      </c>
      <c r="M134" s="24">
        <f>IF($A134="","",IFERROR(ABS(N($D134))/N($C134),0))</f>
        <v/>
      </c>
      <c r="N134" s="24">
        <f>IF($A134="","",IFERROR(N($E134)/N($C134),0))</f>
        <v/>
      </c>
      <c r="O134" s="23">
        <f>IF($A134="",0,IFERROR(SUMPRODUCT(($A$8:$A$307=$A134)*($P$8:$P$307="FAIL")*($U$8:$U$307&gt;$V134)*($U$8:$U$307&lt;=$U134)),0))</f>
        <v/>
      </c>
      <c r="P134" s="23">
        <f>IF($A134="","",IFERROR(IF(NOT(ISNUMBER($K134)),"CHECK",IF($L134="MARGIN",IF($N134&lt;=$K134,"PASS","FAIL"),IF($M134&lt;=$K134,"PASS","FAIL"))),"CHECK"))</f>
        <v/>
      </c>
      <c r="Q134" s="23">
        <f>IF($A134="","",IFERROR(INDEX('Ref_Tolerance'!$E$2:$E$9,MATCH($J134,'Ref_Tolerance'!$A$2:$A$9,0)),""))</f>
        <v/>
      </c>
      <c r="R134" s="23">
        <f>IF($A134="","",IFERROR(IF($O134=0,"CLEAR",IF($O134=1,"MFR DUE - MANAGER",IF($O134=2,"MFR DUE - FSS/CC SIGNATURE REQUIRED","INVESTIGATION + REPORT OF SURVEY; MSG/CC NOTIFIED"))),""))</f>
        <v/>
      </c>
      <c r="S134" s="23">
        <f>IF($A134="","",IF($O134=2,"WATCH - ONE MORE MISS TRIGGERS INVESTIGATION",""))</f>
        <v/>
      </c>
      <c r="T134" s="23">
        <f>IF($A134="","",IFERROR(IF(AND($O134&gt;=1,$F134&lt;&gt;"Y"),"MFR NOT SUBMITTED",IF(AND($O134&gt;=2,$G134&lt;&gt;"Y"),"FSS/CC SIGNATURE MISSING",IF(AND($O134&gt;=3,$H134&lt;&gt;"Y"),"INVESTIGATION NOT OPENED",""))),""))</f>
        <v/>
      </c>
      <c r="U134" s="25">
        <f>IF($A134="",0,IFERROR(MATCH($B134,'Ref_Calendar'!$A$2:$A$500,0),0))</f>
        <v/>
      </c>
      <c r="V134" s="25">
        <f>IF($A134="",0,IFERROR(SUMPRODUCT(MAX(($A$8:$A$307=$A134)*($P$8:$P$307="PASS")*($U$8:$U$307&lt;=$U134)*$U$8:$U$307)),0))</f>
        <v/>
      </c>
      <c r="W134" s="25">
        <f>IF($A134="","",IFERROR(INDEX('Ref_Crosswalk'!$E$2:$E$500,MATCH($A134,'Ref_Crosswalk'!$A$2:$A$500,0)),""))</f>
        <v/>
      </c>
      <c r="X134" s="25">
        <f>IF($A134="","",IFERROR(INDEX('Ref_Crosswalk'!$C$2:$C$500,MATCH($A134,'Ref_Crosswalk'!$A$2:$A$500,0)),""))</f>
        <v/>
      </c>
      <c r="Y134" s="25">
        <f>IF($A134="",0,IF(AND(OR('Out_Dashboard'!$C$5="",$W134='Out_Dashboard'!$C$5),OR('Out_Dashboard'!$C$6="",$X134='Out_Dashboard'!$C$6),OR('Out_Dashboard'!$C$7="",$B134='Out_Dashboard'!$C$7)),1,0))</f>
        <v/>
      </c>
      <c r="Z134" s="25">
        <f>IF(AND($A134&lt;&gt;"",$S134&lt;&gt;"",$Y134=1),SUMPRODUCT(($A$8:$A134&lt;&gt;"")*($S$8:$S134&lt;&gt;"")*($Y$8:$Y134=1)),"")</f>
        <v/>
      </c>
      <c r="AA134" s="25">
        <f>IF(AND($A134&lt;&gt;"",$T134&lt;&gt;"",$Y134=1),SUMPRODUCT(($A$8:$A134&lt;&gt;"")*($T$8:$T134&lt;&gt;"")*($Y$8:$Y134=1)),"")</f>
        <v/>
      </c>
    </row>
    <row r="135">
      <c r="A135" s="13" t="n"/>
      <c r="B135" s="13" t="n"/>
      <c r="C135" s="26" t="n"/>
      <c r="D135" s="26" t="n"/>
      <c r="E135" s="26" t="n"/>
      <c r="F135" s="13" t="n"/>
      <c r="G135" s="13" t="n"/>
      <c r="H135" s="13" t="n"/>
      <c r="I135" s="13" t="n"/>
      <c r="J135" s="23">
        <f>IF($A135="","",IFERROR(INDEX('Ref_Crosswalk'!$F$2:$F$500,MATCH($A135,'Ref_Crosswalk'!$A$2:$A$500,0)),"UNKNOWN"))</f>
        <v/>
      </c>
      <c r="K135" s="24">
        <f>IF($A135="","",IFERROR(INDEX('Ref_Tolerance'!$B$2:$B$9,MATCH($J135,'Ref_Tolerance'!$A$2:$A$9,0)),""))</f>
        <v/>
      </c>
      <c r="L135" s="23">
        <f>IF($A135="","",IFERROR(INDEX('Ref_Tolerance'!$D$2:$D$9,MATCH($J135,'Ref_Tolerance'!$A$2:$A$9,0)),""))</f>
        <v/>
      </c>
      <c r="M135" s="24">
        <f>IF($A135="","",IFERROR(ABS(N($D135))/N($C135),0))</f>
        <v/>
      </c>
      <c r="N135" s="24">
        <f>IF($A135="","",IFERROR(N($E135)/N($C135),0))</f>
        <v/>
      </c>
      <c r="O135" s="23">
        <f>IF($A135="",0,IFERROR(SUMPRODUCT(($A$8:$A$307=$A135)*($P$8:$P$307="FAIL")*($U$8:$U$307&gt;$V135)*($U$8:$U$307&lt;=$U135)),0))</f>
        <v/>
      </c>
      <c r="P135" s="23">
        <f>IF($A135="","",IFERROR(IF(NOT(ISNUMBER($K135)),"CHECK",IF($L135="MARGIN",IF($N135&lt;=$K135,"PASS","FAIL"),IF($M135&lt;=$K135,"PASS","FAIL"))),"CHECK"))</f>
        <v/>
      </c>
      <c r="Q135" s="23">
        <f>IF($A135="","",IFERROR(INDEX('Ref_Tolerance'!$E$2:$E$9,MATCH($J135,'Ref_Tolerance'!$A$2:$A$9,0)),""))</f>
        <v/>
      </c>
      <c r="R135" s="23">
        <f>IF($A135="","",IFERROR(IF($O135=0,"CLEAR",IF($O135=1,"MFR DUE - MANAGER",IF($O135=2,"MFR DUE - FSS/CC SIGNATURE REQUIRED","INVESTIGATION + REPORT OF SURVEY; MSG/CC NOTIFIED"))),""))</f>
        <v/>
      </c>
      <c r="S135" s="23">
        <f>IF($A135="","",IF($O135=2,"WATCH - ONE MORE MISS TRIGGERS INVESTIGATION",""))</f>
        <v/>
      </c>
      <c r="T135" s="23">
        <f>IF($A135="","",IFERROR(IF(AND($O135&gt;=1,$F135&lt;&gt;"Y"),"MFR NOT SUBMITTED",IF(AND($O135&gt;=2,$G135&lt;&gt;"Y"),"FSS/CC SIGNATURE MISSING",IF(AND($O135&gt;=3,$H135&lt;&gt;"Y"),"INVESTIGATION NOT OPENED",""))),""))</f>
        <v/>
      </c>
      <c r="U135" s="25">
        <f>IF($A135="",0,IFERROR(MATCH($B135,'Ref_Calendar'!$A$2:$A$500,0),0))</f>
        <v/>
      </c>
      <c r="V135" s="25">
        <f>IF($A135="",0,IFERROR(SUMPRODUCT(MAX(($A$8:$A$307=$A135)*($P$8:$P$307="PASS")*($U$8:$U$307&lt;=$U135)*$U$8:$U$307)),0))</f>
        <v/>
      </c>
      <c r="W135" s="25">
        <f>IF($A135="","",IFERROR(INDEX('Ref_Crosswalk'!$E$2:$E$500,MATCH($A135,'Ref_Crosswalk'!$A$2:$A$500,0)),""))</f>
        <v/>
      </c>
      <c r="X135" s="25">
        <f>IF($A135="","",IFERROR(INDEX('Ref_Crosswalk'!$C$2:$C$500,MATCH($A135,'Ref_Crosswalk'!$A$2:$A$500,0)),""))</f>
        <v/>
      </c>
      <c r="Y135" s="25">
        <f>IF($A135="",0,IF(AND(OR('Out_Dashboard'!$C$5="",$W135='Out_Dashboard'!$C$5),OR('Out_Dashboard'!$C$6="",$X135='Out_Dashboard'!$C$6),OR('Out_Dashboard'!$C$7="",$B135='Out_Dashboard'!$C$7)),1,0))</f>
        <v/>
      </c>
      <c r="Z135" s="25">
        <f>IF(AND($A135&lt;&gt;"",$S135&lt;&gt;"",$Y135=1),SUMPRODUCT(($A$8:$A135&lt;&gt;"")*($S$8:$S135&lt;&gt;"")*($Y$8:$Y135=1)),"")</f>
        <v/>
      </c>
      <c r="AA135" s="25">
        <f>IF(AND($A135&lt;&gt;"",$T135&lt;&gt;"",$Y135=1),SUMPRODUCT(($A$8:$A135&lt;&gt;"")*($T$8:$T135&lt;&gt;"")*($Y$8:$Y135=1)),"")</f>
        <v/>
      </c>
    </row>
    <row r="136">
      <c r="A136" s="13" t="n"/>
      <c r="B136" s="13" t="n"/>
      <c r="C136" s="26" t="n"/>
      <c r="D136" s="26" t="n"/>
      <c r="E136" s="26" t="n"/>
      <c r="F136" s="13" t="n"/>
      <c r="G136" s="13" t="n"/>
      <c r="H136" s="13" t="n"/>
      <c r="I136" s="13" t="n"/>
      <c r="J136" s="23">
        <f>IF($A136="","",IFERROR(INDEX('Ref_Crosswalk'!$F$2:$F$500,MATCH($A136,'Ref_Crosswalk'!$A$2:$A$500,0)),"UNKNOWN"))</f>
        <v/>
      </c>
      <c r="K136" s="24">
        <f>IF($A136="","",IFERROR(INDEX('Ref_Tolerance'!$B$2:$B$9,MATCH($J136,'Ref_Tolerance'!$A$2:$A$9,0)),""))</f>
        <v/>
      </c>
      <c r="L136" s="23">
        <f>IF($A136="","",IFERROR(INDEX('Ref_Tolerance'!$D$2:$D$9,MATCH($J136,'Ref_Tolerance'!$A$2:$A$9,0)),""))</f>
        <v/>
      </c>
      <c r="M136" s="24">
        <f>IF($A136="","",IFERROR(ABS(N($D136))/N($C136),0))</f>
        <v/>
      </c>
      <c r="N136" s="24">
        <f>IF($A136="","",IFERROR(N($E136)/N($C136),0))</f>
        <v/>
      </c>
      <c r="O136" s="23">
        <f>IF($A136="",0,IFERROR(SUMPRODUCT(($A$8:$A$307=$A136)*($P$8:$P$307="FAIL")*($U$8:$U$307&gt;$V136)*($U$8:$U$307&lt;=$U136)),0))</f>
        <v/>
      </c>
      <c r="P136" s="23">
        <f>IF($A136="","",IFERROR(IF(NOT(ISNUMBER($K136)),"CHECK",IF($L136="MARGIN",IF($N136&lt;=$K136,"PASS","FAIL"),IF($M136&lt;=$K136,"PASS","FAIL"))),"CHECK"))</f>
        <v/>
      </c>
      <c r="Q136" s="23">
        <f>IF($A136="","",IFERROR(INDEX('Ref_Tolerance'!$E$2:$E$9,MATCH($J136,'Ref_Tolerance'!$A$2:$A$9,0)),""))</f>
        <v/>
      </c>
      <c r="R136" s="23">
        <f>IF($A136="","",IFERROR(IF($O136=0,"CLEAR",IF($O136=1,"MFR DUE - MANAGER",IF($O136=2,"MFR DUE - FSS/CC SIGNATURE REQUIRED","INVESTIGATION + REPORT OF SURVEY; MSG/CC NOTIFIED"))),""))</f>
        <v/>
      </c>
      <c r="S136" s="23">
        <f>IF($A136="","",IF($O136=2,"WATCH - ONE MORE MISS TRIGGERS INVESTIGATION",""))</f>
        <v/>
      </c>
      <c r="T136" s="23">
        <f>IF($A136="","",IFERROR(IF(AND($O136&gt;=1,$F136&lt;&gt;"Y"),"MFR NOT SUBMITTED",IF(AND($O136&gt;=2,$G136&lt;&gt;"Y"),"FSS/CC SIGNATURE MISSING",IF(AND($O136&gt;=3,$H136&lt;&gt;"Y"),"INVESTIGATION NOT OPENED",""))),""))</f>
        <v/>
      </c>
      <c r="U136" s="25">
        <f>IF($A136="",0,IFERROR(MATCH($B136,'Ref_Calendar'!$A$2:$A$500,0),0))</f>
        <v/>
      </c>
      <c r="V136" s="25">
        <f>IF($A136="",0,IFERROR(SUMPRODUCT(MAX(($A$8:$A$307=$A136)*($P$8:$P$307="PASS")*($U$8:$U$307&lt;=$U136)*$U$8:$U$307)),0))</f>
        <v/>
      </c>
      <c r="W136" s="25">
        <f>IF($A136="","",IFERROR(INDEX('Ref_Crosswalk'!$E$2:$E$500,MATCH($A136,'Ref_Crosswalk'!$A$2:$A$500,0)),""))</f>
        <v/>
      </c>
      <c r="X136" s="25">
        <f>IF($A136="","",IFERROR(INDEX('Ref_Crosswalk'!$C$2:$C$500,MATCH($A136,'Ref_Crosswalk'!$A$2:$A$500,0)),""))</f>
        <v/>
      </c>
      <c r="Y136" s="25">
        <f>IF($A136="",0,IF(AND(OR('Out_Dashboard'!$C$5="",$W136='Out_Dashboard'!$C$5),OR('Out_Dashboard'!$C$6="",$X136='Out_Dashboard'!$C$6),OR('Out_Dashboard'!$C$7="",$B136='Out_Dashboard'!$C$7)),1,0))</f>
        <v/>
      </c>
      <c r="Z136" s="25">
        <f>IF(AND($A136&lt;&gt;"",$S136&lt;&gt;"",$Y136=1),SUMPRODUCT(($A$8:$A136&lt;&gt;"")*($S$8:$S136&lt;&gt;"")*($Y$8:$Y136=1)),"")</f>
        <v/>
      </c>
      <c r="AA136" s="25">
        <f>IF(AND($A136&lt;&gt;"",$T136&lt;&gt;"",$Y136=1),SUMPRODUCT(($A$8:$A136&lt;&gt;"")*($T$8:$T136&lt;&gt;"")*($Y$8:$Y136=1)),"")</f>
        <v/>
      </c>
    </row>
    <row r="137">
      <c r="A137" s="13" t="n"/>
      <c r="B137" s="13" t="n"/>
      <c r="C137" s="26" t="n"/>
      <c r="D137" s="26" t="n"/>
      <c r="E137" s="26" t="n"/>
      <c r="F137" s="13" t="n"/>
      <c r="G137" s="13" t="n"/>
      <c r="H137" s="13" t="n"/>
      <c r="I137" s="13" t="n"/>
      <c r="J137" s="23">
        <f>IF($A137="","",IFERROR(INDEX('Ref_Crosswalk'!$F$2:$F$500,MATCH($A137,'Ref_Crosswalk'!$A$2:$A$500,0)),"UNKNOWN"))</f>
        <v/>
      </c>
      <c r="K137" s="24">
        <f>IF($A137="","",IFERROR(INDEX('Ref_Tolerance'!$B$2:$B$9,MATCH($J137,'Ref_Tolerance'!$A$2:$A$9,0)),""))</f>
        <v/>
      </c>
      <c r="L137" s="23">
        <f>IF($A137="","",IFERROR(INDEX('Ref_Tolerance'!$D$2:$D$9,MATCH($J137,'Ref_Tolerance'!$A$2:$A$9,0)),""))</f>
        <v/>
      </c>
      <c r="M137" s="24">
        <f>IF($A137="","",IFERROR(ABS(N($D137))/N($C137),0))</f>
        <v/>
      </c>
      <c r="N137" s="24">
        <f>IF($A137="","",IFERROR(N($E137)/N($C137),0))</f>
        <v/>
      </c>
      <c r="O137" s="23">
        <f>IF($A137="",0,IFERROR(SUMPRODUCT(($A$8:$A$307=$A137)*($P$8:$P$307="FAIL")*($U$8:$U$307&gt;$V137)*($U$8:$U$307&lt;=$U137)),0))</f>
        <v/>
      </c>
      <c r="P137" s="23">
        <f>IF($A137="","",IFERROR(IF(NOT(ISNUMBER($K137)),"CHECK",IF($L137="MARGIN",IF($N137&lt;=$K137,"PASS","FAIL"),IF($M137&lt;=$K137,"PASS","FAIL"))),"CHECK"))</f>
        <v/>
      </c>
      <c r="Q137" s="23">
        <f>IF($A137="","",IFERROR(INDEX('Ref_Tolerance'!$E$2:$E$9,MATCH($J137,'Ref_Tolerance'!$A$2:$A$9,0)),""))</f>
        <v/>
      </c>
      <c r="R137" s="23">
        <f>IF($A137="","",IFERROR(IF($O137=0,"CLEAR",IF($O137=1,"MFR DUE - MANAGER",IF($O137=2,"MFR DUE - FSS/CC SIGNATURE REQUIRED","INVESTIGATION + REPORT OF SURVEY; MSG/CC NOTIFIED"))),""))</f>
        <v/>
      </c>
      <c r="S137" s="23">
        <f>IF($A137="","",IF($O137=2,"WATCH - ONE MORE MISS TRIGGERS INVESTIGATION",""))</f>
        <v/>
      </c>
      <c r="T137" s="23">
        <f>IF($A137="","",IFERROR(IF(AND($O137&gt;=1,$F137&lt;&gt;"Y"),"MFR NOT SUBMITTED",IF(AND($O137&gt;=2,$G137&lt;&gt;"Y"),"FSS/CC SIGNATURE MISSING",IF(AND($O137&gt;=3,$H137&lt;&gt;"Y"),"INVESTIGATION NOT OPENED",""))),""))</f>
        <v/>
      </c>
      <c r="U137" s="25">
        <f>IF($A137="",0,IFERROR(MATCH($B137,'Ref_Calendar'!$A$2:$A$500,0),0))</f>
        <v/>
      </c>
      <c r="V137" s="25">
        <f>IF($A137="",0,IFERROR(SUMPRODUCT(MAX(($A$8:$A$307=$A137)*($P$8:$P$307="PASS")*($U$8:$U$307&lt;=$U137)*$U$8:$U$307)),0))</f>
        <v/>
      </c>
      <c r="W137" s="25">
        <f>IF($A137="","",IFERROR(INDEX('Ref_Crosswalk'!$E$2:$E$500,MATCH($A137,'Ref_Crosswalk'!$A$2:$A$500,0)),""))</f>
        <v/>
      </c>
      <c r="X137" s="25">
        <f>IF($A137="","",IFERROR(INDEX('Ref_Crosswalk'!$C$2:$C$500,MATCH($A137,'Ref_Crosswalk'!$A$2:$A$500,0)),""))</f>
        <v/>
      </c>
      <c r="Y137" s="25">
        <f>IF($A137="",0,IF(AND(OR('Out_Dashboard'!$C$5="",$W137='Out_Dashboard'!$C$5),OR('Out_Dashboard'!$C$6="",$X137='Out_Dashboard'!$C$6),OR('Out_Dashboard'!$C$7="",$B137='Out_Dashboard'!$C$7)),1,0))</f>
        <v/>
      </c>
      <c r="Z137" s="25">
        <f>IF(AND($A137&lt;&gt;"",$S137&lt;&gt;"",$Y137=1),SUMPRODUCT(($A$8:$A137&lt;&gt;"")*($S$8:$S137&lt;&gt;"")*($Y$8:$Y137=1)),"")</f>
        <v/>
      </c>
      <c r="AA137" s="25">
        <f>IF(AND($A137&lt;&gt;"",$T137&lt;&gt;"",$Y137=1),SUMPRODUCT(($A$8:$A137&lt;&gt;"")*($T$8:$T137&lt;&gt;"")*($Y$8:$Y137=1)),"")</f>
        <v/>
      </c>
    </row>
    <row r="138">
      <c r="A138" s="13" t="n"/>
      <c r="B138" s="13" t="n"/>
      <c r="C138" s="26" t="n"/>
      <c r="D138" s="26" t="n"/>
      <c r="E138" s="26" t="n"/>
      <c r="F138" s="13" t="n"/>
      <c r="G138" s="13" t="n"/>
      <c r="H138" s="13" t="n"/>
      <c r="I138" s="13" t="n"/>
      <c r="J138" s="23">
        <f>IF($A138="","",IFERROR(INDEX('Ref_Crosswalk'!$F$2:$F$500,MATCH($A138,'Ref_Crosswalk'!$A$2:$A$500,0)),"UNKNOWN"))</f>
        <v/>
      </c>
      <c r="K138" s="24">
        <f>IF($A138="","",IFERROR(INDEX('Ref_Tolerance'!$B$2:$B$9,MATCH($J138,'Ref_Tolerance'!$A$2:$A$9,0)),""))</f>
        <v/>
      </c>
      <c r="L138" s="23">
        <f>IF($A138="","",IFERROR(INDEX('Ref_Tolerance'!$D$2:$D$9,MATCH($J138,'Ref_Tolerance'!$A$2:$A$9,0)),""))</f>
        <v/>
      </c>
      <c r="M138" s="24">
        <f>IF($A138="","",IFERROR(ABS(N($D138))/N($C138),0))</f>
        <v/>
      </c>
      <c r="N138" s="24">
        <f>IF($A138="","",IFERROR(N($E138)/N($C138),0))</f>
        <v/>
      </c>
      <c r="O138" s="23">
        <f>IF($A138="",0,IFERROR(SUMPRODUCT(($A$8:$A$307=$A138)*($P$8:$P$307="FAIL")*($U$8:$U$307&gt;$V138)*($U$8:$U$307&lt;=$U138)),0))</f>
        <v/>
      </c>
      <c r="P138" s="23">
        <f>IF($A138="","",IFERROR(IF(NOT(ISNUMBER($K138)),"CHECK",IF($L138="MARGIN",IF($N138&lt;=$K138,"PASS","FAIL"),IF($M138&lt;=$K138,"PASS","FAIL"))),"CHECK"))</f>
        <v/>
      </c>
      <c r="Q138" s="23">
        <f>IF($A138="","",IFERROR(INDEX('Ref_Tolerance'!$E$2:$E$9,MATCH($J138,'Ref_Tolerance'!$A$2:$A$9,0)),""))</f>
        <v/>
      </c>
      <c r="R138" s="23">
        <f>IF($A138="","",IFERROR(IF($O138=0,"CLEAR",IF($O138=1,"MFR DUE - MANAGER",IF($O138=2,"MFR DUE - FSS/CC SIGNATURE REQUIRED","INVESTIGATION + REPORT OF SURVEY; MSG/CC NOTIFIED"))),""))</f>
        <v/>
      </c>
      <c r="S138" s="23">
        <f>IF($A138="","",IF($O138=2,"WATCH - ONE MORE MISS TRIGGERS INVESTIGATION",""))</f>
        <v/>
      </c>
      <c r="T138" s="23">
        <f>IF($A138="","",IFERROR(IF(AND($O138&gt;=1,$F138&lt;&gt;"Y"),"MFR NOT SUBMITTED",IF(AND($O138&gt;=2,$G138&lt;&gt;"Y"),"FSS/CC SIGNATURE MISSING",IF(AND($O138&gt;=3,$H138&lt;&gt;"Y"),"INVESTIGATION NOT OPENED",""))),""))</f>
        <v/>
      </c>
      <c r="U138" s="25">
        <f>IF($A138="",0,IFERROR(MATCH($B138,'Ref_Calendar'!$A$2:$A$500,0),0))</f>
        <v/>
      </c>
      <c r="V138" s="25">
        <f>IF($A138="",0,IFERROR(SUMPRODUCT(MAX(($A$8:$A$307=$A138)*($P$8:$P$307="PASS")*($U$8:$U$307&lt;=$U138)*$U$8:$U$307)),0))</f>
        <v/>
      </c>
      <c r="W138" s="25">
        <f>IF($A138="","",IFERROR(INDEX('Ref_Crosswalk'!$E$2:$E$500,MATCH($A138,'Ref_Crosswalk'!$A$2:$A$500,0)),""))</f>
        <v/>
      </c>
      <c r="X138" s="25">
        <f>IF($A138="","",IFERROR(INDEX('Ref_Crosswalk'!$C$2:$C$500,MATCH($A138,'Ref_Crosswalk'!$A$2:$A$500,0)),""))</f>
        <v/>
      </c>
      <c r="Y138" s="25">
        <f>IF($A138="",0,IF(AND(OR('Out_Dashboard'!$C$5="",$W138='Out_Dashboard'!$C$5),OR('Out_Dashboard'!$C$6="",$X138='Out_Dashboard'!$C$6),OR('Out_Dashboard'!$C$7="",$B138='Out_Dashboard'!$C$7)),1,0))</f>
        <v/>
      </c>
      <c r="Z138" s="25">
        <f>IF(AND($A138&lt;&gt;"",$S138&lt;&gt;"",$Y138=1),SUMPRODUCT(($A$8:$A138&lt;&gt;"")*($S$8:$S138&lt;&gt;"")*($Y$8:$Y138=1)),"")</f>
        <v/>
      </c>
      <c r="AA138" s="25">
        <f>IF(AND($A138&lt;&gt;"",$T138&lt;&gt;"",$Y138=1),SUMPRODUCT(($A$8:$A138&lt;&gt;"")*($T$8:$T138&lt;&gt;"")*($Y$8:$Y138=1)),"")</f>
        <v/>
      </c>
    </row>
    <row r="139">
      <c r="A139" s="13" t="n"/>
      <c r="B139" s="13" t="n"/>
      <c r="C139" s="26" t="n"/>
      <c r="D139" s="26" t="n"/>
      <c r="E139" s="26" t="n"/>
      <c r="F139" s="13" t="n"/>
      <c r="G139" s="13" t="n"/>
      <c r="H139" s="13" t="n"/>
      <c r="I139" s="13" t="n"/>
      <c r="J139" s="23">
        <f>IF($A139="","",IFERROR(INDEX('Ref_Crosswalk'!$F$2:$F$500,MATCH($A139,'Ref_Crosswalk'!$A$2:$A$500,0)),"UNKNOWN"))</f>
        <v/>
      </c>
      <c r="K139" s="24">
        <f>IF($A139="","",IFERROR(INDEX('Ref_Tolerance'!$B$2:$B$9,MATCH($J139,'Ref_Tolerance'!$A$2:$A$9,0)),""))</f>
        <v/>
      </c>
      <c r="L139" s="23">
        <f>IF($A139="","",IFERROR(INDEX('Ref_Tolerance'!$D$2:$D$9,MATCH($J139,'Ref_Tolerance'!$A$2:$A$9,0)),""))</f>
        <v/>
      </c>
      <c r="M139" s="24">
        <f>IF($A139="","",IFERROR(ABS(N($D139))/N($C139),0))</f>
        <v/>
      </c>
      <c r="N139" s="24">
        <f>IF($A139="","",IFERROR(N($E139)/N($C139),0))</f>
        <v/>
      </c>
      <c r="O139" s="23">
        <f>IF($A139="",0,IFERROR(SUMPRODUCT(($A$8:$A$307=$A139)*($P$8:$P$307="FAIL")*($U$8:$U$307&gt;$V139)*($U$8:$U$307&lt;=$U139)),0))</f>
        <v/>
      </c>
      <c r="P139" s="23">
        <f>IF($A139="","",IFERROR(IF(NOT(ISNUMBER($K139)),"CHECK",IF($L139="MARGIN",IF($N139&lt;=$K139,"PASS","FAIL"),IF($M139&lt;=$K139,"PASS","FAIL"))),"CHECK"))</f>
        <v/>
      </c>
      <c r="Q139" s="23">
        <f>IF($A139="","",IFERROR(INDEX('Ref_Tolerance'!$E$2:$E$9,MATCH($J139,'Ref_Tolerance'!$A$2:$A$9,0)),""))</f>
        <v/>
      </c>
      <c r="R139" s="23">
        <f>IF($A139="","",IFERROR(IF($O139=0,"CLEAR",IF($O139=1,"MFR DUE - MANAGER",IF($O139=2,"MFR DUE - FSS/CC SIGNATURE REQUIRED","INVESTIGATION + REPORT OF SURVEY; MSG/CC NOTIFIED"))),""))</f>
        <v/>
      </c>
      <c r="S139" s="23">
        <f>IF($A139="","",IF($O139=2,"WATCH - ONE MORE MISS TRIGGERS INVESTIGATION",""))</f>
        <v/>
      </c>
      <c r="T139" s="23">
        <f>IF($A139="","",IFERROR(IF(AND($O139&gt;=1,$F139&lt;&gt;"Y"),"MFR NOT SUBMITTED",IF(AND($O139&gt;=2,$G139&lt;&gt;"Y"),"FSS/CC SIGNATURE MISSING",IF(AND($O139&gt;=3,$H139&lt;&gt;"Y"),"INVESTIGATION NOT OPENED",""))),""))</f>
        <v/>
      </c>
      <c r="U139" s="25">
        <f>IF($A139="",0,IFERROR(MATCH($B139,'Ref_Calendar'!$A$2:$A$500,0),0))</f>
        <v/>
      </c>
      <c r="V139" s="25">
        <f>IF($A139="",0,IFERROR(SUMPRODUCT(MAX(($A$8:$A$307=$A139)*($P$8:$P$307="PASS")*($U$8:$U$307&lt;=$U139)*$U$8:$U$307)),0))</f>
        <v/>
      </c>
      <c r="W139" s="25">
        <f>IF($A139="","",IFERROR(INDEX('Ref_Crosswalk'!$E$2:$E$500,MATCH($A139,'Ref_Crosswalk'!$A$2:$A$500,0)),""))</f>
        <v/>
      </c>
      <c r="X139" s="25">
        <f>IF($A139="","",IFERROR(INDEX('Ref_Crosswalk'!$C$2:$C$500,MATCH($A139,'Ref_Crosswalk'!$A$2:$A$500,0)),""))</f>
        <v/>
      </c>
      <c r="Y139" s="25">
        <f>IF($A139="",0,IF(AND(OR('Out_Dashboard'!$C$5="",$W139='Out_Dashboard'!$C$5),OR('Out_Dashboard'!$C$6="",$X139='Out_Dashboard'!$C$6),OR('Out_Dashboard'!$C$7="",$B139='Out_Dashboard'!$C$7)),1,0))</f>
        <v/>
      </c>
      <c r="Z139" s="25">
        <f>IF(AND($A139&lt;&gt;"",$S139&lt;&gt;"",$Y139=1),SUMPRODUCT(($A$8:$A139&lt;&gt;"")*($S$8:$S139&lt;&gt;"")*($Y$8:$Y139=1)),"")</f>
        <v/>
      </c>
      <c r="AA139" s="25">
        <f>IF(AND($A139&lt;&gt;"",$T139&lt;&gt;"",$Y139=1),SUMPRODUCT(($A$8:$A139&lt;&gt;"")*($T$8:$T139&lt;&gt;"")*($Y$8:$Y139=1)),"")</f>
        <v/>
      </c>
    </row>
    <row r="140">
      <c r="A140" s="13" t="n"/>
      <c r="B140" s="13" t="n"/>
      <c r="C140" s="26" t="n"/>
      <c r="D140" s="26" t="n"/>
      <c r="E140" s="26" t="n"/>
      <c r="F140" s="13" t="n"/>
      <c r="G140" s="13" t="n"/>
      <c r="H140" s="13" t="n"/>
      <c r="I140" s="13" t="n"/>
      <c r="J140" s="23">
        <f>IF($A140="","",IFERROR(INDEX('Ref_Crosswalk'!$F$2:$F$500,MATCH($A140,'Ref_Crosswalk'!$A$2:$A$500,0)),"UNKNOWN"))</f>
        <v/>
      </c>
      <c r="K140" s="24">
        <f>IF($A140="","",IFERROR(INDEX('Ref_Tolerance'!$B$2:$B$9,MATCH($J140,'Ref_Tolerance'!$A$2:$A$9,0)),""))</f>
        <v/>
      </c>
      <c r="L140" s="23">
        <f>IF($A140="","",IFERROR(INDEX('Ref_Tolerance'!$D$2:$D$9,MATCH($J140,'Ref_Tolerance'!$A$2:$A$9,0)),""))</f>
        <v/>
      </c>
      <c r="M140" s="24">
        <f>IF($A140="","",IFERROR(ABS(N($D140))/N($C140),0))</f>
        <v/>
      </c>
      <c r="N140" s="24">
        <f>IF($A140="","",IFERROR(N($E140)/N($C140),0))</f>
        <v/>
      </c>
      <c r="O140" s="23">
        <f>IF($A140="",0,IFERROR(SUMPRODUCT(($A$8:$A$307=$A140)*($P$8:$P$307="FAIL")*($U$8:$U$307&gt;$V140)*($U$8:$U$307&lt;=$U140)),0))</f>
        <v/>
      </c>
      <c r="P140" s="23">
        <f>IF($A140="","",IFERROR(IF(NOT(ISNUMBER($K140)),"CHECK",IF($L140="MARGIN",IF($N140&lt;=$K140,"PASS","FAIL"),IF($M140&lt;=$K140,"PASS","FAIL"))),"CHECK"))</f>
        <v/>
      </c>
      <c r="Q140" s="23">
        <f>IF($A140="","",IFERROR(INDEX('Ref_Tolerance'!$E$2:$E$9,MATCH($J140,'Ref_Tolerance'!$A$2:$A$9,0)),""))</f>
        <v/>
      </c>
      <c r="R140" s="23">
        <f>IF($A140="","",IFERROR(IF($O140=0,"CLEAR",IF($O140=1,"MFR DUE - MANAGER",IF($O140=2,"MFR DUE - FSS/CC SIGNATURE REQUIRED","INVESTIGATION + REPORT OF SURVEY; MSG/CC NOTIFIED"))),""))</f>
        <v/>
      </c>
      <c r="S140" s="23">
        <f>IF($A140="","",IF($O140=2,"WATCH - ONE MORE MISS TRIGGERS INVESTIGATION",""))</f>
        <v/>
      </c>
      <c r="T140" s="23">
        <f>IF($A140="","",IFERROR(IF(AND($O140&gt;=1,$F140&lt;&gt;"Y"),"MFR NOT SUBMITTED",IF(AND($O140&gt;=2,$G140&lt;&gt;"Y"),"FSS/CC SIGNATURE MISSING",IF(AND($O140&gt;=3,$H140&lt;&gt;"Y"),"INVESTIGATION NOT OPENED",""))),""))</f>
        <v/>
      </c>
      <c r="U140" s="25">
        <f>IF($A140="",0,IFERROR(MATCH($B140,'Ref_Calendar'!$A$2:$A$500,0),0))</f>
        <v/>
      </c>
      <c r="V140" s="25">
        <f>IF($A140="",0,IFERROR(SUMPRODUCT(MAX(($A$8:$A$307=$A140)*($P$8:$P$307="PASS")*($U$8:$U$307&lt;=$U140)*$U$8:$U$307)),0))</f>
        <v/>
      </c>
      <c r="W140" s="25">
        <f>IF($A140="","",IFERROR(INDEX('Ref_Crosswalk'!$E$2:$E$500,MATCH($A140,'Ref_Crosswalk'!$A$2:$A$500,0)),""))</f>
        <v/>
      </c>
      <c r="X140" s="25">
        <f>IF($A140="","",IFERROR(INDEX('Ref_Crosswalk'!$C$2:$C$500,MATCH($A140,'Ref_Crosswalk'!$A$2:$A$500,0)),""))</f>
        <v/>
      </c>
      <c r="Y140" s="25">
        <f>IF($A140="",0,IF(AND(OR('Out_Dashboard'!$C$5="",$W140='Out_Dashboard'!$C$5),OR('Out_Dashboard'!$C$6="",$X140='Out_Dashboard'!$C$6),OR('Out_Dashboard'!$C$7="",$B140='Out_Dashboard'!$C$7)),1,0))</f>
        <v/>
      </c>
      <c r="Z140" s="25">
        <f>IF(AND($A140&lt;&gt;"",$S140&lt;&gt;"",$Y140=1),SUMPRODUCT(($A$8:$A140&lt;&gt;"")*($S$8:$S140&lt;&gt;"")*($Y$8:$Y140=1)),"")</f>
        <v/>
      </c>
      <c r="AA140" s="25">
        <f>IF(AND($A140&lt;&gt;"",$T140&lt;&gt;"",$Y140=1),SUMPRODUCT(($A$8:$A140&lt;&gt;"")*($T$8:$T140&lt;&gt;"")*($Y$8:$Y140=1)),"")</f>
        <v/>
      </c>
    </row>
    <row r="141">
      <c r="A141" s="13" t="n"/>
      <c r="B141" s="13" t="n"/>
      <c r="C141" s="26" t="n"/>
      <c r="D141" s="26" t="n"/>
      <c r="E141" s="26" t="n"/>
      <c r="F141" s="13" t="n"/>
      <c r="G141" s="13" t="n"/>
      <c r="H141" s="13" t="n"/>
      <c r="I141" s="13" t="n"/>
      <c r="J141" s="23">
        <f>IF($A141="","",IFERROR(INDEX('Ref_Crosswalk'!$F$2:$F$500,MATCH($A141,'Ref_Crosswalk'!$A$2:$A$500,0)),"UNKNOWN"))</f>
        <v/>
      </c>
      <c r="K141" s="24">
        <f>IF($A141="","",IFERROR(INDEX('Ref_Tolerance'!$B$2:$B$9,MATCH($J141,'Ref_Tolerance'!$A$2:$A$9,0)),""))</f>
        <v/>
      </c>
      <c r="L141" s="23">
        <f>IF($A141="","",IFERROR(INDEX('Ref_Tolerance'!$D$2:$D$9,MATCH($J141,'Ref_Tolerance'!$A$2:$A$9,0)),""))</f>
        <v/>
      </c>
      <c r="M141" s="24">
        <f>IF($A141="","",IFERROR(ABS(N($D141))/N($C141),0))</f>
        <v/>
      </c>
      <c r="N141" s="24">
        <f>IF($A141="","",IFERROR(N($E141)/N($C141),0))</f>
        <v/>
      </c>
      <c r="O141" s="23">
        <f>IF($A141="",0,IFERROR(SUMPRODUCT(($A$8:$A$307=$A141)*($P$8:$P$307="FAIL")*($U$8:$U$307&gt;$V141)*($U$8:$U$307&lt;=$U141)),0))</f>
        <v/>
      </c>
      <c r="P141" s="23">
        <f>IF($A141="","",IFERROR(IF(NOT(ISNUMBER($K141)),"CHECK",IF($L141="MARGIN",IF($N141&lt;=$K141,"PASS","FAIL"),IF($M141&lt;=$K141,"PASS","FAIL"))),"CHECK"))</f>
        <v/>
      </c>
      <c r="Q141" s="23">
        <f>IF($A141="","",IFERROR(INDEX('Ref_Tolerance'!$E$2:$E$9,MATCH($J141,'Ref_Tolerance'!$A$2:$A$9,0)),""))</f>
        <v/>
      </c>
      <c r="R141" s="23">
        <f>IF($A141="","",IFERROR(IF($O141=0,"CLEAR",IF($O141=1,"MFR DUE - MANAGER",IF($O141=2,"MFR DUE - FSS/CC SIGNATURE REQUIRED","INVESTIGATION + REPORT OF SURVEY; MSG/CC NOTIFIED"))),""))</f>
        <v/>
      </c>
      <c r="S141" s="23">
        <f>IF($A141="","",IF($O141=2,"WATCH - ONE MORE MISS TRIGGERS INVESTIGATION",""))</f>
        <v/>
      </c>
      <c r="T141" s="23">
        <f>IF($A141="","",IFERROR(IF(AND($O141&gt;=1,$F141&lt;&gt;"Y"),"MFR NOT SUBMITTED",IF(AND($O141&gt;=2,$G141&lt;&gt;"Y"),"FSS/CC SIGNATURE MISSING",IF(AND($O141&gt;=3,$H141&lt;&gt;"Y"),"INVESTIGATION NOT OPENED",""))),""))</f>
        <v/>
      </c>
      <c r="U141" s="25">
        <f>IF($A141="",0,IFERROR(MATCH($B141,'Ref_Calendar'!$A$2:$A$500,0),0))</f>
        <v/>
      </c>
      <c r="V141" s="25">
        <f>IF($A141="",0,IFERROR(SUMPRODUCT(MAX(($A$8:$A$307=$A141)*($P$8:$P$307="PASS")*($U$8:$U$307&lt;=$U141)*$U$8:$U$307)),0))</f>
        <v/>
      </c>
      <c r="W141" s="25">
        <f>IF($A141="","",IFERROR(INDEX('Ref_Crosswalk'!$E$2:$E$500,MATCH($A141,'Ref_Crosswalk'!$A$2:$A$500,0)),""))</f>
        <v/>
      </c>
      <c r="X141" s="25">
        <f>IF($A141="","",IFERROR(INDEX('Ref_Crosswalk'!$C$2:$C$500,MATCH($A141,'Ref_Crosswalk'!$A$2:$A$500,0)),""))</f>
        <v/>
      </c>
      <c r="Y141" s="25">
        <f>IF($A141="",0,IF(AND(OR('Out_Dashboard'!$C$5="",$W141='Out_Dashboard'!$C$5),OR('Out_Dashboard'!$C$6="",$X141='Out_Dashboard'!$C$6),OR('Out_Dashboard'!$C$7="",$B141='Out_Dashboard'!$C$7)),1,0))</f>
        <v/>
      </c>
      <c r="Z141" s="25">
        <f>IF(AND($A141&lt;&gt;"",$S141&lt;&gt;"",$Y141=1),SUMPRODUCT(($A$8:$A141&lt;&gt;"")*($S$8:$S141&lt;&gt;"")*($Y$8:$Y141=1)),"")</f>
        <v/>
      </c>
      <c r="AA141" s="25">
        <f>IF(AND($A141&lt;&gt;"",$T141&lt;&gt;"",$Y141=1),SUMPRODUCT(($A$8:$A141&lt;&gt;"")*($T$8:$T141&lt;&gt;"")*($Y$8:$Y141=1)),"")</f>
        <v/>
      </c>
    </row>
    <row r="142">
      <c r="A142" s="13" t="n"/>
      <c r="B142" s="13" t="n"/>
      <c r="C142" s="26" t="n"/>
      <c r="D142" s="26" t="n"/>
      <c r="E142" s="26" t="n"/>
      <c r="F142" s="13" t="n"/>
      <c r="G142" s="13" t="n"/>
      <c r="H142" s="13" t="n"/>
      <c r="I142" s="13" t="n"/>
      <c r="J142" s="23">
        <f>IF($A142="","",IFERROR(INDEX('Ref_Crosswalk'!$F$2:$F$500,MATCH($A142,'Ref_Crosswalk'!$A$2:$A$500,0)),"UNKNOWN"))</f>
        <v/>
      </c>
      <c r="K142" s="24">
        <f>IF($A142="","",IFERROR(INDEX('Ref_Tolerance'!$B$2:$B$9,MATCH($J142,'Ref_Tolerance'!$A$2:$A$9,0)),""))</f>
        <v/>
      </c>
      <c r="L142" s="23">
        <f>IF($A142="","",IFERROR(INDEX('Ref_Tolerance'!$D$2:$D$9,MATCH($J142,'Ref_Tolerance'!$A$2:$A$9,0)),""))</f>
        <v/>
      </c>
      <c r="M142" s="24">
        <f>IF($A142="","",IFERROR(ABS(N($D142))/N($C142),0))</f>
        <v/>
      </c>
      <c r="N142" s="24">
        <f>IF($A142="","",IFERROR(N($E142)/N($C142),0))</f>
        <v/>
      </c>
      <c r="O142" s="23">
        <f>IF($A142="",0,IFERROR(SUMPRODUCT(($A$8:$A$307=$A142)*($P$8:$P$307="FAIL")*($U$8:$U$307&gt;$V142)*($U$8:$U$307&lt;=$U142)),0))</f>
        <v/>
      </c>
      <c r="P142" s="23">
        <f>IF($A142="","",IFERROR(IF(NOT(ISNUMBER($K142)),"CHECK",IF($L142="MARGIN",IF($N142&lt;=$K142,"PASS","FAIL"),IF($M142&lt;=$K142,"PASS","FAIL"))),"CHECK"))</f>
        <v/>
      </c>
      <c r="Q142" s="23">
        <f>IF($A142="","",IFERROR(INDEX('Ref_Tolerance'!$E$2:$E$9,MATCH($J142,'Ref_Tolerance'!$A$2:$A$9,0)),""))</f>
        <v/>
      </c>
      <c r="R142" s="23">
        <f>IF($A142="","",IFERROR(IF($O142=0,"CLEAR",IF($O142=1,"MFR DUE - MANAGER",IF($O142=2,"MFR DUE - FSS/CC SIGNATURE REQUIRED","INVESTIGATION + REPORT OF SURVEY; MSG/CC NOTIFIED"))),""))</f>
        <v/>
      </c>
      <c r="S142" s="23">
        <f>IF($A142="","",IF($O142=2,"WATCH - ONE MORE MISS TRIGGERS INVESTIGATION",""))</f>
        <v/>
      </c>
      <c r="T142" s="23">
        <f>IF($A142="","",IFERROR(IF(AND($O142&gt;=1,$F142&lt;&gt;"Y"),"MFR NOT SUBMITTED",IF(AND($O142&gt;=2,$G142&lt;&gt;"Y"),"FSS/CC SIGNATURE MISSING",IF(AND($O142&gt;=3,$H142&lt;&gt;"Y"),"INVESTIGATION NOT OPENED",""))),""))</f>
        <v/>
      </c>
      <c r="U142" s="25">
        <f>IF($A142="",0,IFERROR(MATCH($B142,'Ref_Calendar'!$A$2:$A$500,0),0))</f>
        <v/>
      </c>
      <c r="V142" s="25">
        <f>IF($A142="",0,IFERROR(SUMPRODUCT(MAX(($A$8:$A$307=$A142)*($P$8:$P$307="PASS")*($U$8:$U$307&lt;=$U142)*$U$8:$U$307)),0))</f>
        <v/>
      </c>
      <c r="W142" s="25">
        <f>IF($A142="","",IFERROR(INDEX('Ref_Crosswalk'!$E$2:$E$500,MATCH($A142,'Ref_Crosswalk'!$A$2:$A$500,0)),""))</f>
        <v/>
      </c>
      <c r="X142" s="25">
        <f>IF($A142="","",IFERROR(INDEX('Ref_Crosswalk'!$C$2:$C$500,MATCH($A142,'Ref_Crosswalk'!$A$2:$A$500,0)),""))</f>
        <v/>
      </c>
      <c r="Y142" s="25">
        <f>IF($A142="",0,IF(AND(OR('Out_Dashboard'!$C$5="",$W142='Out_Dashboard'!$C$5),OR('Out_Dashboard'!$C$6="",$X142='Out_Dashboard'!$C$6),OR('Out_Dashboard'!$C$7="",$B142='Out_Dashboard'!$C$7)),1,0))</f>
        <v/>
      </c>
      <c r="Z142" s="25">
        <f>IF(AND($A142&lt;&gt;"",$S142&lt;&gt;"",$Y142=1),SUMPRODUCT(($A$8:$A142&lt;&gt;"")*($S$8:$S142&lt;&gt;"")*($Y$8:$Y142=1)),"")</f>
        <v/>
      </c>
      <c r="AA142" s="25">
        <f>IF(AND($A142&lt;&gt;"",$T142&lt;&gt;"",$Y142=1),SUMPRODUCT(($A$8:$A142&lt;&gt;"")*($T$8:$T142&lt;&gt;"")*($Y$8:$Y142=1)),"")</f>
        <v/>
      </c>
    </row>
    <row r="143">
      <c r="A143" s="13" t="n"/>
      <c r="B143" s="13" t="n"/>
      <c r="C143" s="26" t="n"/>
      <c r="D143" s="26" t="n"/>
      <c r="E143" s="26" t="n"/>
      <c r="F143" s="13" t="n"/>
      <c r="G143" s="13" t="n"/>
      <c r="H143" s="13" t="n"/>
      <c r="I143" s="13" t="n"/>
      <c r="J143" s="23">
        <f>IF($A143="","",IFERROR(INDEX('Ref_Crosswalk'!$F$2:$F$500,MATCH($A143,'Ref_Crosswalk'!$A$2:$A$500,0)),"UNKNOWN"))</f>
        <v/>
      </c>
      <c r="K143" s="24">
        <f>IF($A143="","",IFERROR(INDEX('Ref_Tolerance'!$B$2:$B$9,MATCH($J143,'Ref_Tolerance'!$A$2:$A$9,0)),""))</f>
        <v/>
      </c>
      <c r="L143" s="23">
        <f>IF($A143="","",IFERROR(INDEX('Ref_Tolerance'!$D$2:$D$9,MATCH($J143,'Ref_Tolerance'!$A$2:$A$9,0)),""))</f>
        <v/>
      </c>
      <c r="M143" s="24">
        <f>IF($A143="","",IFERROR(ABS(N($D143))/N($C143),0))</f>
        <v/>
      </c>
      <c r="N143" s="24">
        <f>IF($A143="","",IFERROR(N($E143)/N($C143),0))</f>
        <v/>
      </c>
      <c r="O143" s="23">
        <f>IF($A143="",0,IFERROR(SUMPRODUCT(($A$8:$A$307=$A143)*($P$8:$P$307="FAIL")*($U$8:$U$307&gt;$V143)*($U$8:$U$307&lt;=$U143)),0))</f>
        <v/>
      </c>
      <c r="P143" s="23">
        <f>IF($A143="","",IFERROR(IF(NOT(ISNUMBER($K143)),"CHECK",IF($L143="MARGIN",IF($N143&lt;=$K143,"PASS","FAIL"),IF($M143&lt;=$K143,"PASS","FAIL"))),"CHECK"))</f>
        <v/>
      </c>
      <c r="Q143" s="23">
        <f>IF($A143="","",IFERROR(INDEX('Ref_Tolerance'!$E$2:$E$9,MATCH($J143,'Ref_Tolerance'!$A$2:$A$9,0)),""))</f>
        <v/>
      </c>
      <c r="R143" s="23">
        <f>IF($A143="","",IFERROR(IF($O143=0,"CLEAR",IF($O143=1,"MFR DUE - MANAGER",IF($O143=2,"MFR DUE - FSS/CC SIGNATURE REQUIRED","INVESTIGATION + REPORT OF SURVEY; MSG/CC NOTIFIED"))),""))</f>
        <v/>
      </c>
      <c r="S143" s="23">
        <f>IF($A143="","",IF($O143=2,"WATCH - ONE MORE MISS TRIGGERS INVESTIGATION",""))</f>
        <v/>
      </c>
      <c r="T143" s="23">
        <f>IF($A143="","",IFERROR(IF(AND($O143&gt;=1,$F143&lt;&gt;"Y"),"MFR NOT SUBMITTED",IF(AND($O143&gt;=2,$G143&lt;&gt;"Y"),"FSS/CC SIGNATURE MISSING",IF(AND($O143&gt;=3,$H143&lt;&gt;"Y"),"INVESTIGATION NOT OPENED",""))),""))</f>
        <v/>
      </c>
      <c r="U143" s="25">
        <f>IF($A143="",0,IFERROR(MATCH($B143,'Ref_Calendar'!$A$2:$A$500,0),0))</f>
        <v/>
      </c>
      <c r="V143" s="25">
        <f>IF($A143="",0,IFERROR(SUMPRODUCT(MAX(($A$8:$A$307=$A143)*($P$8:$P$307="PASS")*($U$8:$U$307&lt;=$U143)*$U$8:$U$307)),0))</f>
        <v/>
      </c>
      <c r="W143" s="25">
        <f>IF($A143="","",IFERROR(INDEX('Ref_Crosswalk'!$E$2:$E$500,MATCH($A143,'Ref_Crosswalk'!$A$2:$A$500,0)),""))</f>
        <v/>
      </c>
      <c r="X143" s="25">
        <f>IF($A143="","",IFERROR(INDEX('Ref_Crosswalk'!$C$2:$C$500,MATCH($A143,'Ref_Crosswalk'!$A$2:$A$500,0)),""))</f>
        <v/>
      </c>
      <c r="Y143" s="25">
        <f>IF($A143="",0,IF(AND(OR('Out_Dashboard'!$C$5="",$W143='Out_Dashboard'!$C$5),OR('Out_Dashboard'!$C$6="",$X143='Out_Dashboard'!$C$6),OR('Out_Dashboard'!$C$7="",$B143='Out_Dashboard'!$C$7)),1,0))</f>
        <v/>
      </c>
      <c r="Z143" s="25">
        <f>IF(AND($A143&lt;&gt;"",$S143&lt;&gt;"",$Y143=1),SUMPRODUCT(($A$8:$A143&lt;&gt;"")*($S$8:$S143&lt;&gt;"")*($Y$8:$Y143=1)),"")</f>
        <v/>
      </c>
      <c r="AA143" s="25">
        <f>IF(AND($A143&lt;&gt;"",$T143&lt;&gt;"",$Y143=1),SUMPRODUCT(($A$8:$A143&lt;&gt;"")*($T$8:$T143&lt;&gt;"")*($Y$8:$Y143=1)),"")</f>
        <v/>
      </c>
    </row>
    <row r="144">
      <c r="A144" s="13" t="n"/>
      <c r="B144" s="13" t="n"/>
      <c r="C144" s="26" t="n"/>
      <c r="D144" s="26" t="n"/>
      <c r="E144" s="26" t="n"/>
      <c r="F144" s="13" t="n"/>
      <c r="G144" s="13" t="n"/>
      <c r="H144" s="13" t="n"/>
      <c r="I144" s="13" t="n"/>
      <c r="J144" s="23">
        <f>IF($A144="","",IFERROR(INDEX('Ref_Crosswalk'!$F$2:$F$500,MATCH($A144,'Ref_Crosswalk'!$A$2:$A$500,0)),"UNKNOWN"))</f>
        <v/>
      </c>
      <c r="K144" s="24">
        <f>IF($A144="","",IFERROR(INDEX('Ref_Tolerance'!$B$2:$B$9,MATCH($J144,'Ref_Tolerance'!$A$2:$A$9,0)),""))</f>
        <v/>
      </c>
      <c r="L144" s="23">
        <f>IF($A144="","",IFERROR(INDEX('Ref_Tolerance'!$D$2:$D$9,MATCH($J144,'Ref_Tolerance'!$A$2:$A$9,0)),""))</f>
        <v/>
      </c>
      <c r="M144" s="24">
        <f>IF($A144="","",IFERROR(ABS(N($D144))/N($C144),0))</f>
        <v/>
      </c>
      <c r="N144" s="24">
        <f>IF($A144="","",IFERROR(N($E144)/N($C144),0))</f>
        <v/>
      </c>
      <c r="O144" s="23">
        <f>IF($A144="",0,IFERROR(SUMPRODUCT(($A$8:$A$307=$A144)*($P$8:$P$307="FAIL")*($U$8:$U$307&gt;$V144)*($U$8:$U$307&lt;=$U144)),0))</f>
        <v/>
      </c>
      <c r="P144" s="23">
        <f>IF($A144="","",IFERROR(IF(NOT(ISNUMBER($K144)),"CHECK",IF($L144="MARGIN",IF($N144&lt;=$K144,"PASS","FAIL"),IF($M144&lt;=$K144,"PASS","FAIL"))),"CHECK"))</f>
        <v/>
      </c>
      <c r="Q144" s="23">
        <f>IF($A144="","",IFERROR(INDEX('Ref_Tolerance'!$E$2:$E$9,MATCH($J144,'Ref_Tolerance'!$A$2:$A$9,0)),""))</f>
        <v/>
      </c>
      <c r="R144" s="23">
        <f>IF($A144="","",IFERROR(IF($O144=0,"CLEAR",IF($O144=1,"MFR DUE - MANAGER",IF($O144=2,"MFR DUE - FSS/CC SIGNATURE REQUIRED","INVESTIGATION + REPORT OF SURVEY; MSG/CC NOTIFIED"))),""))</f>
        <v/>
      </c>
      <c r="S144" s="23">
        <f>IF($A144="","",IF($O144=2,"WATCH - ONE MORE MISS TRIGGERS INVESTIGATION",""))</f>
        <v/>
      </c>
      <c r="T144" s="23">
        <f>IF($A144="","",IFERROR(IF(AND($O144&gt;=1,$F144&lt;&gt;"Y"),"MFR NOT SUBMITTED",IF(AND($O144&gt;=2,$G144&lt;&gt;"Y"),"FSS/CC SIGNATURE MISSING",IF(AND($O144&gt;=3,$H144&lt;&gt;"Y"),"INVESTIGATION NOT OPENED",""))),""))</f>
        <v/>
      </c>
      <c r="U144" s="25">
        <f>IF($A144="",0,IFERROR(MATCH($B144,'Ref_Calendar'!$A$2:$A$500,0),0))</f>
        <v/>
      </c>
      <c r="V144" s="25">
        <f>IF($A144="",0,IFERROR(SUMPRODUCT(MAX(($A$8:$A$307=$A144)*($P$8:$P$307="PASS")*($U$8:$U$307&lt;=$U144)*$U$8:$U$307)),0))</f>
        <v/>
      </c>
      <c r="W144" s="25">
        <f>IF($A144="","",IFERROR(INDEX('Ref_Crosswalk'!$E$2:$E$500,MATCH($A144,'Ref_Crosswalk'!$A$2:$A$500,0)),""))</f>
        <v/>
      </c>
      <c r="X144" s="25">
        <f>IF($A144="","",IFERROR(INDEX('Ref_Crosswalk'!$C$2:$C$500,MATCH($A144,'Ref_Crosswalk'!$A$2:$A$500,0)),""))</f>
        <v/>
      </c>
      <c r="Y144" s="25">
        <f>IF($A144="",0,IF(AND(OR('Out_Dashboard'!$C$5="",$W144='Out_Dashboard'!$C$5),OR('Out_Dashboard'!$C$6="",$X144='Out_Dashboard'!$C$6),OR('Out_Dashboard'!$C$7="",$B144='Out_Dashboard'!$C$7)),1,0))</f>
        <v/>
      </c>
      <c r="Z144" s="25">
        <f>IF(AND($A144&lt;&gt;"",$S144&lt;&gt;"",$Y144=1),SUMPRODUCT(($A$8:$A144&lt;&gt;"")*($S$8:$S144&lt;&gt;"")*($Y$8:$Y144=1)),"")</f>
        <v/>
      </c>
      <c r="AA144" s="25">
        <f>IF(AND($A144&lt;&gt;"",$T144&lt;&gt;"",$Y144=1),SUMPRODUCT(($A$8:$A144&lt;&gt;"")*($T$8:$T144&lt;&gt;"")*($Y$8:$Y144=1)),"")</f>
        <v/>
      </c>
    </row>
    <row r="145">
      <c r="A145" s="13" t="n"/>
      <c r="B145" s="13" t="n"/>
      <c r="C145" s="26" t="n"/>
      <c r="D145" s="26" t="n"/>
      <c r="E145" s="26" t="n"/>
      <c r="F145" s="13" t="n"/>
      <c r="G145" s="13" t="n"/>
      <c r="H145" s="13" t="n"/>
      <c r="I145" s="13" t="n"/>
      <c r="J145" s="23">
        <f>IF($A145="","",IFERROR(INDEX('Ref_Crosswalk'!$F$2:$F$500,MATCH($A145,'Ref_Crosswalk'!$A$2:$A$500,0)),"UNKNOWN"))</f>
        <v/>
      </c>
      <c r="K145" s="24">
        <f>IF($A145="","",IFERROR(INDEX('Ref_Tolerance'!$B$2:$B$9,MATCH($J145,'Ref_Tolerance'!$A$2:$A$9,0)),""))</f>
        <v/>
      </c>
      <c r="L145" s="23">
        <f>IF($A145="","",IFERROR(INDEX('Ref_Tolerance'!$D$2:$D$9,MATCH($J145,'Ref_Tolerance'!$A$2:$A$9,0)),""))</f>
        <v/>
      </c>
      <c r="M145" s="24">
        <f>IF($A145="","",IFERROR(ABS(N($D145))/N($C145),0))</f>
        <v/>
      </c>
      <c r="N145" s="24">
        <f>IF($A145="","",IFERROR(N($E145)/N($C145),0))</f>
        <v/>
      </c>
      <c r="O145" s="23">
        <f>IF($A145="",0,IFERROR(SUMPRODUCT(($A$8:$A$307=$A145)*($P$8:$P$307="FAIL")*($U$8:$U$307&gt;$V145)*($U$8:$U$307&lt;=$U145)),0))</f>
        <v/>
      </c>
      <c r="P145" s="23">
        <f>IF($A145="","",IFERROR(IF(NOT(ISNUMBER($K145)),"CHECK",IF($L145="MARGIN",IF($N145&lt;=$K145,"PASS","FAIL"),IF($M145&lt;=$K145,"PASS","FAIL"))),"CHECK"))</f>
        <v/>
      </c>
      <c r="Q145" s="23">
        <f>IF($A145="","",IFERROR(INDEX('Ref_Tolerance'!$E$2:$E$9,MATCH($J145,'Ref_Tolerance'!$A$2:$A$9,0)),""))</f>
        <v/>
      </c>
      <c r="R145" s="23">
        <f>IF($A145="","",IFERROR(IF($O145=0,"CLEAR",IF($O145=1,"MFR DUE - MANAGER",IF($O145=2,"MFR DUE - FSS/CC SIGNATURE REQUIRED","INVESTIGATION + REPORT OF SURVEY; MSG/CC NOTIFIED"))),""))</f>
        <v/>
      </c>
      <c r="S145" s="23">
        <f>IF($A145="","",IF($O145=2,"WATCH - ONE MORE MISS TRIGGERS INVESTIGATION",""))</f>
        <v/>
      </c>
      <c r="T145" s="23">
        <f>IF($A145="","",IFERROR(IF(AND($O145&gt;=1,$F145&lt;&gt;"Y"),"MFR NOT SUBMITTED",IF(AND($O145&gt;=2,$G145&lt;&gt;"Y"),"FSS/CC SIGNATURE MISSING",IF(AND($O145&gt;=3,$H145&lt;&gt;"Y"),"INVESTIGATION NOT OPENED",""))),""))</f>
        <v/>
      </c>
      <c r="U145" s="25">
        <f>IF($A145="",0,IFERROR(MATCH($B145,'Ref_Calendar'!$A$2:$A$500,0),0))</f>
        <v/>
      </c>
      <c r="V145" s="25">
        <f>IF($A145="",0,IFERROR(SUMPRODUCT(MAX(($A$8:$A$307=$A145)*($P$8:$P$307="PASS")*($U$8:$U$307&lt;=$U145)*$U$8:$U$307)),0))</f>
        <v/>
      </c>
      <c r="W145" s="25">
        <f>IF($A145="","",IFERROR(INDEX('Ref_Crosswalk'!$E$2:$E$500,MATCH($A145,'Ref_Crosswalk'!$A$2:$A$500,0)),""))</f>
        <v/>
      </c>
      <c r="X145" s="25">
        <f>IF($A145="","",IFERROR(INDEX('Ref_Crosswalk'!$C$2:$C$500,MATCH($A145,'Ref_Crosswalk'!$A$2:$A$500,0)),""))</f>
        <v/>
      </c>
      <c r="Y145" s="25">
        <f>IF($A145="",0,IF(AND(OR('Out_Dashboard'!$C$5="",$W145='Out_Dashboard'!$C$5),OR('Out_Dashboard'!$C$6="",$X145='Out_Dashboard'!$C$6),OR('Out_Dashboard'!$C$7="",$B145='Out_Dashboard'!$C$7)),1,0))</f>
        <v/>
      </c>
      <c r="Z145" s="25">
        <f>IF(AND($A145&lt;&gt;"",$S145&lt;&gt;"",$Y145=1),SUMPRODUCT(($A$8:$A145&lt;&gt;"")*($S$8:$S145&lt;&gt;"")*($Y$8:$Y145=1)),"")</f>
        <v/>
      </c>
      <c r="AA145" s="25">
        <f>IF(AND($A145&lt;&gt;"",$T145&lt;&gt;"",$Y145=1),SUMPRODUCT(($A$8:$A145&lt;&gt;"")*($T$8:$T145&lt;&gt;"")*($Y$8:$Y145=1)),"")</f>
        <v/>
      </c>
    </row>
    <row r="146">
      <c r="A146" s="13" t="n"/>
      <c r="B146" s="13" t="n"/>
      <c r="C146" s="26" t="n"/>
      <c r="D146" s="26" t="n"/>
      <c r="E146" s="26" t="n"/>
      <c r="F146" s="13" t="n"/>
      <c r="G146" s="13" t="n"/>
      <c r="H146" s="13" t="n"/>
      <c r="I146" s="13" t="n"/>
      <c r="J146" s="23">
        <f>IF($A146="","",IFERROR(INDEX('Ref_Crosswalk'!$F$2:$F$500,MATCH($A146,'Ref_Crosswalk'!$A$2:$A$500,0)),"UNKNOWN"))</f>
        <v/>
      </c>
      <c r="K146" s="24">
        <f>IF($A146="","",IFERROR(INDEX('Ref_Tolerance'!$B$2:$B$9,MATCH($J146,'Ref_Tolerance'!$A$2:$A$9,0)),""))</f>
        <v/>
      </c>
      <c r="L146" s="23">
        <f>IF($A146="","",IFERROR(INDEX('Ref_Tolerance'!$D$2:$D$9,MATCH($J146,'Ref_Tolerance'!$A$2:$A$9,0)),""))</f>
        <v/>
      </c>
      <c r="M146" s="24">
        <f>IF($A146="","",IFERROR(ABS(N($D146))/N($C146),0))</f>
        <v/>
      </c>
      <c r="N146" s="24">
        <f>IF($A146="","",IFERROR(N($E146)/N($C146),0))</f>
        <v/>
      </c>
      <c r="O146" s="23">
        <f>IF($A146="",0,IFERROR(SUMPRODUCT(($A$8:$A$307=$A146)*($P$8:$P$307="FAIL")*($U$8:$U$307&gt;$V146)*($U$8:$U$307&lt;=$U146)),0))</f>
        <v/>
      </c>
      <c r="P146" s="23">
        <f>IF($A146="","",IFERROR(IF(NOT(ISNUMBER($K146)),"CHECK",IF($L146="MARGIN",IF($N146&lt;=$K146,"PASS","FAIL"),IF($M146&lt;=$K146,"PASS","FAIL"))),"CHECK"))</f>
        <v/>
      </c>
      <c r="Q146" s="23">
        <f>IF($A146="","",IFERROR(INDEX('Ref_Tolerance'!$E$2:$E$9,MATCH($J146,'Ref_Tolerance'!$A$2:$A$9,0)),""))</f>
        <v/>
      </c>
      <c r="R146" s="23">
        <f>IF($A146="","",IFERROR(IF($O146=0,"CLEAR",IF($O146=1,"MFR DUE - MANAGER",IF($O146=2,"MFR DUE - FSS/CC SIGNATURE REQUIRED","INVESTIGATION + REPORT OF SURVEY; MSG/CC NOTIFIED"))),""))</f>
        <v/>
      </c>
      <c r="S146" s="23">
        <f>IF($A146="","",IF($O146=2,"WATCH - ONE MORE MISS TRIGGERS INVESTIGATION",""))</f>
        <v/>
      </c>
      <c r="T146" s="23">
        <f>IF($A146="","",IFERROR(IF(AND($O146&gt;=1,$F146&lt;&gt;"Y"),"MFR NOT SUBMITTED",IF(AND($O146&gt;=2,$G146&lt;&gt;"Y"),"FSS/CC SIGNATURE MISSING",IF(AND($O146&gt;=3,$H146&lt;&gt;"Y"),"INVESTIGATION NOT OPENED",""))),""))</f>
        <v/>
      </c>
      <c r="U146" s="25">
        <f>IF($A146="",0,IFERROR(MATCH($B146,'Ref_Calendar'!$A$2:$A$500,0),0))</f>
        <v/>
      </c>
      <c r="V146" s="25">
        <f>IF($A146="",0,IFERROR(SUMPRODUCT(MAX(($A$8:$A$307=$A146)*($P$8:$P$307="PASS")*($U$8:$U$307&lt;=$U146)*$U$8:$U$307)),0))</f>
        <v/>
      </c>
      <c r="W146" s="25">
        <f>IF($A146="","",IFERROR(INDEX('Ref_Crosswalk'!$E$2:$E$500,MATCH($A146,'Ref_Crosswalk'!$A$2:$A$500,0)),""))</f>
        <v/>
      </c>
      <c r="X146" s="25">
        <f>IF($A146="","",IFERROR(INDEX('Ref_Crosswalk'!$C$2:$C$500,MATCH($A146,'Ref_Crosswalk'!$A$2:$A$500,0)),""))</f>
        <v/>
      </c>
      <c r="Y146" s="25">
        <f>IF($A146="",0,IF(AND(OR('Out_Dashboard'!$C$5="",$W146='Out_Dashboard'!$C$5),OR('Out_Dashboard'!$C$6="",$X146='Out_Dashboard'!$C$6),OR('Out_Dashboard'!$C$7="",$B146='Out_Dashboard'!$C$7)),1,0))</f>
        <v/>
      </c>
      <c r="Z146" s="25">
        <f>IF(AND($A146&lt;&gt;"",$S146&lt;&gt;"",$Y146=1),SUMPRODUCT(($A$8:$A146&lt;&gt;"")*($S$8:$S146&lt;&gt;"")*($Y$8:$Y146=1)),"")</f>
        <v/>
      </c>
      <c r="AA146" s="25">
        <f>IF(AND($A146&lt;&gt;"",$T146&lt;&gt;"",$Y146=1),SUMPRODUCT(($A$8:$A146&lt;&gt;"")*($T$8:$T146&lt;&gt;"")*($Y$8:$Y146=1)),"")</f>
        <v/>
      </c>
    </row>
    <row r="147">
      <c r="A147" s="13" t="n"/>
      <c r="B147" s="13" t="n"/>
      <c r="C147" s="26" t="n"/>
      <c r="D147" s="26" t="n"/>
      <c r="E147" s="26" t="n"/>
      <c r="F147" s="13" t="n"/>
      <c r="G147" s="13" t="n"/>
      <c r="H147" s="13" t="n"/>
      <c r="I147" s="13" t="n"/>
      <c r="J147" s="23">
        <f>IF($A147="","",IFERROR(INDEX('Ref_Crosswalk'!$F$2:$F$500,MATCH($A147,'Ref_Crosswalk'!$A$2:$A$500,0)),"UNKNOWN"))</f>
        <v/>
      </c>
      <c r="K147" s="24">
        <f>IF($A147="","",IFERROR(INDEX('Ref_Tolerance'!$B$2:$B$9,MATCH($J147,'Ref_Tolerance'!$A$2:$A$9,0)),""))</f>
        <v/>
      </c>
      <c r="L147" s="23">
        <f>IF($A147="","",IFERROR(INDEX('Ref_Tolerance'!$D$2:$D$9,MATCH($J147,'Ref_Tolerance'!$A$2:$A$9,0)),""))</f>
        <v/>
      </c>
      <c r="M147" s="24">
        <f>IF($A147="","",IFERROR(ABS(N($D147))/N($C147),0))</f>
        <v/>
      </c>
      <c r="N147" s="24">
        <f>IF($A147="","",IFERROR(N($E147)/N($C147),0))</f>
        <v/>
      </c>
      <c r="O147" s="23">
        <f>IF($A147="",0,IFERROR(SUMPRODUCT(($A$8:$A$307=$A147)*($P$8:$P$307="FAIL")*($U$8:$U$307&gt;$V147)*($U$8:$U$307&lt;=$U147)),0))</f>
        <v/>
      </c>
      <c r="P147" s="23">
        <f>IF($A147="","",IFERROR(IF(NOT(ISNUMBER($K147)),"CHECK",IF($L147="MARGIN",IF($N147&lt;=$K147,"PASS","FAIL"),IF($M147&lt;=$K147,"PASS","FAIL"))),"CHECK"))</f>
        <v/>
      </c>
      <c r="Q147" s="23">
        <f>IF($A147="","",IFERROR(INDEX('Ref_Tolerance'!$E$2:$E$9,MATCH($J147,'Ref_Tolerance'!$A$2:$A$9,0)),""))</f>
        <v/>
      </c>
      <c r="R147" s="23">
        <f>IF($A147="","",IFERROR(IF($O147=0,"CLEAR",IF($O147=1,"MFR DUE - MANAGER",IF($O147=2,"MFR DUE - FSS/CC SIGNATURE REQUIRED","INVESTIGATION + REPORT OF SURVEY; MSG/CC NOTIFIED"))),""))</f>
        <v/>
      </c>
      <c r="S147" s="23">
        <f>IF($A147="","",IF($O147=2,"WATCH - ONE MORE MISS TRIGGERS INVESTIGATION",""))</f>
        <v/>
      </c>
      <c r="T147" s="23">
        <f>IF($A147="","",IFERROR(IF(AND($O147&gt;=1,$F147&lt;&gt;"Y"),"MFR NOT SUBMITTED",IF(AND($O147&gt;=2,$G147&lt;&gt;"Y"),"FSS/CC SIGNATURE MISSING",IF(AND($O147&gt;=3,$H147&lt;&gt;"Y"),"INVESTIGATION NOT OPENED",""))),""))</f>
        <v/>
      </c>
      <c r="U147" s="25">
        <f>IF($A147="",0,IFERROR(MATCH($B147,'Ref_Calendar'!$A$2:$A$500,0),0))</f>
        <v/>
      </c>
      <c r="V147" s="25">
        <f>IF($A147="",0,IFERROR(SUMPRODUCT(MAX(($A$8:$A$307=$A147)*($P$8:$P$307="PASS")*($U$8:$U$307&lt;=$U147)*$U$8:$U$307)),0))</f>
        <v/>
      </c>
      <c r="W147" s="25">
        <f>IF($A147="","",IFERROR(INDEX('Ref_Crosswalk'!$E$2:$E$500,MATCH($A147,'Ref_Crosswalk'!$A$2:$A$500,0)),""))</f>
        <v/>
      </c>
      <c r="X147" s="25">
        <f>IF($A147="","",IFERROR(INDEX('Ref_Crosswalk'!$C$2:$C$500,MATCH($A147,'Ref_Crosswalk'!$A$2:$A$500,0)),""))</f>
        <v/>
      </c>
      <c r="Y147" s="25">
        <f>IF($A147="",0,IF(AND(OR('Out_Dashboard'!$C$5="",$W147='Out_Dashboard'!$C$5),OR('Out_Dashboard'!$C$6="",$X147='Out_Dashboard'!$C$6),OR('Out_Dashboard'!$C$7="",$B147='Out_Dashboard'!$C$7)),1,0))</f>
        <v/>
      </c>
      <c r="Z147" s="25">
        <f>IF(AND($A147&lt;&gt;"",$S147&lt;&gt;"",$Y147=1),SUMPRODUCT(($A$8:$A147&lt;&gt;"")*($S$8:$S147&lt;&gt;"")*($Y$8:$Y147=1)),"")</f>
        <v/>
      </c>
      <c r="AA147" s="25">
        <f>IF(AND($A147&lt;&gt;"",$T147&lt;&gt;"",$Y147=1),SUMPRODUCT(($A$8:$A147&lt;&gt;"")*($T$8:$T147&lt;&gt;"")*($Y$8:$Y147=1)),"")</f>
        <v/>
      </c>
    </row>
    <row r="148">
      <c r="A148" s="13" t="n"/>
      <c r="B148" s="13" t="n"/>
      <c r="C148" s="26" t="n"/>
      <c r="D148" s="26" t="n"/>
      <c r="E148" s="26" t="n"/>
      <c r="F148" s="13" t="n"/>
      <c r="G148" s="13" t="n"/>
      <c r="H148" s="13" t="n"/>
      <c r="I148" s="13" t="n"/>
      <c r="J148" s="23">
        <f>IF($A148="","",IFERROR(INDEX('Ref_Crosswalk'!$F$2:$F$500,MATCH($A148,'Ref_Crosswalk'!$A$2:$A$500,0)),"UNKNOWN"))</f>
        <v/>
      </c>
      <c r="K148" s="24">
        <f>IF($A148="","",IFERROR(INDEX('Ref_Tolerance'!$B$2:$B$9,MATCH($J148,'Ref_Tolerance'!$A$2:$A$9,0)),""))</f>
        <v/>
      </c>
      <c r="L148" s="23">
        <f>IF($A148="","",IFERROR(INDEX('Ref_Tolerance'!$D$2:$D$9,MATCH($J148,'Ref_Tolerance'!$A$2:$A$9,0)),""))</f>
        <v/>
      </c>
      <c r="M148" s="24">
        <f>IF($A148="","",IFERROR(ABS(N($D148))/N($C148),0))</f>
        <v/>
      </c>
      <c r="N148" s="24">
        <f>IF($A148="","",IFERROR(N($E148)/N($C148),0))</f>
        <v/>
      </c>
      <c r="O148" s="23">
        <f>IF($A148="",0,IFERROR(SUMPRODUCT(($A$8:$A$307=$A148)*($P$8:$P$307="FAIL")*($U$8:$U$307&gt;$V148)*($U$8:$U$307&lt;=$U148)),0))</f>
        <v/>
      </c>
      <c r="P148" s="23">
        <f>IF($A148="","",IFERROR(IF(NOT(ISNUMBER($K148)),"CHECK",IF($L148="MARGIN",IF($N148&lt;=$K148,"PASS","FAIL"),IF($M148&lt;=$K148,"PASS","FAIL"))),"CHECK"))</f>
        <v/>
      </c>
      <c r="Q148" s="23">
        <f>IF($A148="","",IFERROR(INDEX('Ref_Tolerance'!$E$2:$E$9,MATCH($J148,'Ref_Tolerance'!$A$2:$A$9,0)),""))</f>
        <v/>
      </c>
      <c r="R148" s="23">
        <f>IF($A148="","",IFERROR(IF($O148=0,"CLEAR",IF($O148=1,"MFR DUE - MANAGER",IF($O148=2,"MFR DUE - FSS/CC SIGNATURE REQUIRED","INVESTIGATION + REPORT OF SURVEY; MSG/CC NOTIFIED"))),""))</f>
        <v/>
      </c>
      <c r="S148" s="23">
        <f>IF($A148="","",IF($O148=2,"WATCH - ONE MORE MISS TRIGGERS INVESTIGATION",""))</f>
        <v/>
      </c>
      <c r="T148" s="23">
        <f>IF($A148="","",IFERROR(IF(AND($O148&gt;=1,$F148&lt;&gt;"Y"),"MFR NOT SUBMITTED",IF(AND($O148&gt;=2,$G148&lt;&gt;"Y"),"FSS/CC SIGNATURE MISSING",IF(AND($O148&gt;=3,$H148&lt;&gt;"Y"),"INVESTIGATION NOT OPENED",""))),""))</f>
        <v/>
      </c>
      <c r="U148" s="25">
        <f>IF($A148="",0,IFERROR(MATCH($B148,'Ref_Calendar'!$A$2:$A$500,0),0))</f>
        <v/>
      </c>
      <c r="V148" s="25">
        <f>IF($A148="",0,IFERROR(SUMPRODUCT(MAX(($A$8:$A$307=$A148)*($P$8:$P$307="PASS")*($U$8:$U$307&lt;=$U148)*$U$8:$U$307)),0))</f>
        <v/>
      </c>
      <c r="W148" s="25">
        <f>IF($A148="","",IFERROR(INDEX('Ref_Crosswalk'!$E$2:$E$500,MATCH($A148,'Ref_Crosswalk'!$A$2:$A$500,0)),""))</f>
        <v/>
      </c>
      <c r="X148" s="25">
        <f>IF($A148="","",IFERROR(INDEX('Ref_Crosswalk'!$C$2:$C$500,MATCH($A148,'Ref_Crosswalk'!$A$2:$A$500,0)),""))</f>
        <v/>
      </c>
      <c r="Y148" s="25">
        <f>IF($A148="",0,IF(AND(OR('Out_Dashboard'!$C$5="",$W148='Out_Dashboard'!$C$5),OR('Out_Dashboard'!$C$6="",$X148='Out_Dashboard'!$C$6),OR('Out_Dashboard'!$C$7="",$B148='Out_Dashboard'!$C$7)),1,0))</f>
        <v/>
      </c>
      <c r="Z148" s="25">
        <f>IF(AND($A148&lt;&gt;"",$S148&lt;&gt;"",$Y148=1),SUMPRODUCT(($A$8:$A148&lt;&gt;"")*($S$8:$S148&lt;&gt;"")*($Y$8:$Y148=1)),"")</f>
        <v/>
      </c>
      <c r="AA148" s="25">
        <f>IF(AND($A148&lt;&gt;"",$T148&lt;&gt;"",$Y148=1),SUMPRODUCT(($A$8:$A148&lt;&gt;"")*($T$8:$T148&lt;&gt;"")*($Y$8:$Y148=1)),"")</f>
        <v/>
      </c>
    </row>
    <row r="149">
      <c r="A149" s="13" t="n"/>
      <c r="B149" s="13" t="n"/>
      <c r="C149" s="26" t="n"/>
      <c r="D149" s="26" t="n"/>
      <c r="E149" s="26" t="n"/>
      <c r="F149" s="13" t="n"/>
      <c r="G149" s="13" t="n"/>
      <c r="H149" s="13" t="n"/>
      <c r="I149" s="13" t="n"/>
      <c r="J149" s="23">
        <f>IF($A149="","",IFERROR(INDEX('Ref_Crosswalk'!$F$2:$F$500,MATCH($A149,'Ref_Crosswalk'!$A$2:$A$500,0)),"UNKNOWN"))</f>
        <v/>
      </c>
      <c r="K149" s="24">
        <f>IF($A149="","",IFERROR(INDEX('Ref_Tolerance'!$B$2:$B$9,MATCH($J149,'Ref_Tolerance'!$A$2:$A$9,0)),""))</f>
        <v/>
      </c>
      <c r="L149" s="23">
        <f>IF($A149="","",IFERROR(INDEX('Ref_Tolerance'!$D$2:$D$9,MATCH($J149,'Ref_Tolerance'!$A$2:$A$9,0)),""))</f>
        <v/>
      </c>
      <c r="M149" s="24">
        <f>IF($A149="","",IFERROR(ABS(N($D149))/N($C149),0))</f>
        <v/>
      </c>
      <c r="N149" s="24">
        <f>IF($A149="","",IFERROR(N($E149)/N($C149),0))</f>
        <v/>
      </c>
      <c r="O149" s="23">
        <f>IF($A149="",0,IFERROR(SUMPRODUCT(($A$8:$A$307=$A149)*($P$8:$P$307="FAIL")*($U$8:$U$307&gt;$V149)*($U$8:$U$307&lt;=$U149)),0))</f>
        <v/>
      </c>
      <c r="P149" s="23">
        <f>IF($A149="","",IFERROR(IF(NOT(ISNUMBER($K149)),"CHECK",IF($L149="MARGIN",IF($N149&lt;=$K149,"PASS","FAIL"),IF($M149&lt;=$K149,"PASS","FAIL"))),"CHECK"))</f>
        <v/>
      </c>
      <c r="Q149" s="23">
        <f>IF($A149="","",IFERROR(INDEX('Ref_Tolerance'!$E$2:$E$9,MATCH($J149,'Ref_Tolerance'!$A$2:$A$9,0)),""))</f>
        <v/>
      </c>
      <c r="R149" s="23">
        <f>IF($A149="","",IFERROR(IF($O149=0,"CLEAR",IF($O149=1,"MFR DUE - MANAGER",IF($O149=2,"MFR DUE - FSS/CC SIGNATURE REQUIRED","INVESTIGATION + REPORT OF SURVEY; MSG/CC NOTIFIED"))),""))</f>
        <v/>
      </c>
      <c r="S149" s="23">
        <f>IF($A149="","",IF($O149=2,"WATCH - ONE MORE MISS TRIGGERS INVESTIGATION",""))</f>
        <v/>
      </c>
      <c r="T149" s="23">
        <f>IF($A149="","",IFERROR(IF(AND($O149&gt;=1,$F149&lt;&gt;"Y"),"MFR NOT SUBMITTED",IF(AND($O149&gt;=2,$G149&lt;&gt;"Y"),"FSS/CC SIGNATURE MISSING",IF(AND($O149&gt;=3,$H149&lt;&gt;"Y"),"INVESTIGATION NOT OPENED",""))),""))</f>
        <v/>
      </c>
      <c r="U149" s="25">
        <f>IF($A149="",0,IFERROR(MATCH($B149,'Ref_Calendar'!$A$2:$A$500,0),0))</f>
        <v/>
      </c>
      <c r="V149" s="25">
        <f>IF($A149="",0,IFERROR(SUMPRODUCT(MAX(($A$8:$A$307=$A149)*($P$8:$P$307="PASS")*($U$8:$U$307&lt;=$U149)*$U$8:$U$307)),0))</f>
        <v/>
      </c>
      <c r="W149" s="25">
        <f>IF($A149="","",IFERROR(INDEX('Ref_Crosswalk'!$E$2:$E$500,MATCH($A149,'Ref_Crosswalk'!$A$2:$A$500,0)),""))</f>
        <v/>
      </c>
      <c r="X149" s="25">
        <f>IF($A149="","",IFERROR(INDEX('Ref_Crosswalk'!$C$2:$C$500,MATCH($A149,'Ref_Crosswalk'!$A$2:$A$500,0)),""))</f>
        <v/>
      </c>
      <c r="Y149" s="25">
        <f>IF($A149="",0,IF(AND(OR('Out_Dashboard'!$C$5="",$W149='Out_Dashboard'!$C$5),OR('Out_Dashboard'!$C$6="",$X149='Out_Dashboard'!$C$6),OR('Out_Dashboard'!$C$7="",$B149='Out_Dashboard'!$C$7)),1,0))</f>
        <v/>
      </c>
      <c r="Z149" s="25">
        <f>IF(AND($A149&lt;&gt;"",$S149&lt;&gt;"",$Y149=1),SUMPRODUCT(($A$8:$A149&lt;&gt;"")*($S$8:$S149&lt;&gt;"")*($Y$8:$Y149=1)),"")</f>
        <v/>
      </c>
      <c r="AA149" s="25">
        <f>IF(AND($A149&lt;&gt;"",$T149&lt;&gt;"",$Y149=1),SUMPRODUCT(($A$8:$A149&lt;&gt;"")*($T$8:$T149&lt;&gt;"")*($Y$8:$Y149=1)),"")</f>
        <v/>
      </c>
    </row>
    <row r="150">
      <c r="A150" s="13" t="n"/>
      <c r="B150" s="13" t="n"/>
      <c r="C150" s="26" t="n"/>
      <c r="D150" s="26" t="n"/>
      <c r="E150" s="26" t="n"/>
      <c r="F150" s="13" t="n"/>
      <c r="G150" s="13" t="n"/>
      <c r="H150" s="13" t="n"/>
      <c r="I150" s="13" t="n"/>
      <c r="J150" s="23">
        <f>IF($A150="","",IFERROR(INDEX('Ref_Crosswalk'!$F$2:$F$500,MATCH($A150,'Ref_Crosswalk'!$A$2:$A$500,0)),"UNKNOWN"))</f>
        <v/>
      </c>
      <c r="K150" s="24">
        <f>IF($A150="","",IFERROR(INDEX('Ref_Tolerance'!$B$2:$B$9,MATCH($J150,'Ref_Tolerance'!$A$2:$A$9,0)),""))</f>
        <v/>
      </c>
      <c r="L150" s="23">
        <f>IF($A150="","",IFERROR(INDEX('Ref_Tolerance'!$D$2:$D$9,MATCH($J150,'Ref_Tolerance'!$A$2:$A$9,0)),""))</f>
        <v/>
      </c>
      <c r="M150" s="24">
        <f>IF($A150="","",IFERROR(ABS(N($D150))/N($C150),0))</f>
        <v/>
      </c>
      <c r="N150" s="24">
        <f>IF($A150="","",IFERROR(N($E150)/N($C150),0))</f>
        <v/>
      </c>
      <c r="O150" s="23">
        <f>IF($A150="",0,IFERROR(SUMPRODUCT(($A$8:$A$307=$A150)*($P$8:$P$307="FAIL")*($U$8:$U$307&gt;$V150)*($U$8:$U$307&lt;=$U150)),0))</f>
        <v/>
      </c>
      <c r="P150" s="23">
        <f>IF($A150="","",IFERROR(IF(NOT(ISNUMBER($K150)),"CHECK",IF($L150="MARGIN",IF($N150&lt;=$K150,"PASS","FAIL"),IF($M150&lt;=$K150,"PASS","FAIL"))),"CHECK"))</f>
        <v/>
      </c>
      <c r="Q150" s="23">
        <f>IF($A150="","",IFERROR(INDEX('Ref_Tolerance'!$E$2:$E$9,MATCH($J150,'Ref_Tolerance'!$A$2:$A$9,0)),""))</f>
        <v/>
      </c>
      <c r="R150" s="23">
        <f>IF($A150="","",IFERROR(IF($O150=0,"CLEAR",IF($O150=1,"MFR DUE - MANAGER",IF($O150=2,"MFR DUE - FSS/CC SIGNATURE REQUIRED","INVESTIGATION + REPORT OF SURVEY; MSG/CC NOTIFIED"))),""))</f>
        <v/>
      </c>
      <c r="S150" s="23">
        <f>IF($A150="","",IF($O150=2,"WATCH - ONE MORE MISS TRIGGERS INVESTIGATION",""))</f>
        <v/>
      </c>
      <c r="T150" s="23">
        <f>IF($A150="","",IFERROR(IF(AND($O150&gt;=1,$F150&lt;&gt;"Y"),"MFR NOT SUBMITTED",IF(AND($O150&gt;=2,$G150&lt;&gt;"Y"),"FSS/CC SIGNATURE MISSING",IF(AND($O150&gt;=3,$H150&lt;&gt;"Y"),"INVESTIGATION NOT OPENED",""))),""))</f>
        <v/>
      </c>
      <c r="U150" s="25">
        <f>IF($A150="",0,IFERROR(MATCH($B150,'Ref_Calendar'!$A$2:$A$500,0),0))</f>
        <v/>
      </c>
      <c r="V150" s="25">
        <f>IF($A150="",0,IFERROR(SUMPRODUCT(MAX(($A$8:$A$307=$A150)*($P$8:$P$307="PASS")*($U$8:$U$307&lt;=$U150)*$U$8:$U$307)),0))</f>
        <v/>
      </c>
      <c r="W150" s="25">
        <f>IF($A150="","",IFERROR(INDEX('Ref_Crosswalk'!$E$2:$E$500,MATCH($A150,'Ref_Crosswalk'!$A$2:$A$500,0)),""))</f>
        <v/>
      </c>
      <c r="X150" s="25">
        <f>IF($A150="","",IFERROR(INDEX('Ref_Crosswalk'!$C$2:$C$500,MATCH($A150,'Ref_Crosswalk'!$A$2:$A$500,0)),""))</f>
        <v/>
      </c>
      <c r="Y150" s="25">
        <f>IF($A150="",0,IF(AND(OR('Out_Dashboard'!$C$5="",$W150='Out_Dashboard'!$C$5),OR('Out_Dashboard'!$C$6="",$X150='Out_Dashboard'!$C$6),OR('Out_Dashboard'!$C$7="",$B150='Out_Dashboard'!$C$7)),1,0))</f>
        <v/>
      </c>
      <c r="Z150" s="25">
        <f>IF(AND($A150&lt;&gt;"",$S150&lt;&gt;"",$Y150=1),SUMPRODUCT(($A$8:$A150&lt;&gt;"")*($S$8:$S150&lt;&gt;"")*($Y$8:$Y150=1)),"")</f>
        <v/>
      </c>
      <c r="AA150" s="25">
        <f>IF(AND($A150&lt;&gt;"",$T150&lt;&gt;"",$Y150=1),SUMPRODUCT(($A$8:$A150&lt;&gt;"")*($T$8:$T150&lt;&gt;"")*($Y$8:$Y150=1)),"")</f>
        <v/>
      </c>
    </row>
    <row r="151">
      <c r="A151" s="13" t="n"/>
      <c r="B151" s="13" t="n"/>
      <c r="C151" s="26" t="n"/>
      <c r="D151" s="26" t="n"/>
      <c r="E151" s="26" t="n"/>
      <c r="F151" s="13" t="n"/>
      <c r="G151" s="13" t="n"/>
      <c r="H151" s="13" t="n"/>
      <c r="I151" s="13" t="n"/>
      <c r="J151" s="23">
        <f>IF($A151="","",IFERROR(INDEX('Ref_Crosswalk'!$F$2:$F$500,MATCH($A151,'Ref_Crosswalk'!$A$2:$A$500,0)),"UNKNOWN"))</f>
        <v/>
      </c>
      <c r="K151" s="24">
        <f>IF($A151="","",IFERROR(INDEX('Ref_Tolerance'!$B$2:$B$9,MATCH($J151,'Ref_Tolerance'!$A$2:$A$9,0)),""))</f>
        <v/>
      </c>
      <c r="L151" s="23">
        <f>IF($A151="","",IFERROR(INDEX('Ref_Tolerance'!$D$2:$D$9,MATCH($J151,'Ref_Tolerance'!$A$2:$A$9,0)),""))</f>
        <v/>
      </c>
      <c r="M151" s="24">
        <f>IF($A151="","",IFERROR(ABS(N($D151))/N($C151),0))</f>
        <v/>
      </c>
      <c r="N151" s="24">
        <f>IF($A151="","",IFERROR(N($E151)/N($C151),0))</f>
        <v/>
      </c>
      <c r="O151" s="23">
        <f>IF($A151="",0,IFERROR(SUMPRODUCT(($A$8:$A$307=$A151)*($P$8:$P$307="FAIL")*($U$8:$U$307&gt;$V151)*($U$8:$U$307&lt;=$U151)),0))</f>
        <v/>
      </c>
      <c r="P151" s="23">
        <f>IF($A151="","",IFERROR(IF(NOT(ISNUMBER($K151)),"CHECK",IF($L151="MARGIN",IF($N151&lt;=$K151,"PASS","FAIL"),IF($M151&lt;=$K151,"PASS","FAIL"))),"CHECK"))</f>
        <v/>
      </c>
      <c r="Q151" s="23">
        <f>IF($A151="","",IFERROR(INDEX('Ref_Tolerance'!$E$2:$E$9,MATCH($J151,'Ref_Tolerance'!$A$2:$A$9,0)),""))</f>
        <v/>
      </c>
      <c r="R151" s="23">
        <f>IF($A151="","",IFERROR(IF($O151=0,"CLEAR",IF($O151=1,"MFR DUE - MANAGER",IF($O151=2,"MFR DUE - FSS/CC SIGNATURE REQUIRED","INVESTIGATION + REPORT OF SURVEY; MSG/CC NOTIFIED"))),""))</f>
        <v/>
      </c>
      <c r="S151" s="23">
        <f>IF($A151="","",IF($O151=2,"WATCH - ONE MORE MISS TRIGGERS INVESTIGATION",""))</f>
        <v/>
      </c>
      <c r="T151" s="23">
        <f>IF($A151="","",IFERROR(IF(AND($O151&gt;=1,$F151&lt;&gt;"Y"),"MFR NOT SUBMITTED",IF(AND($O151&gt;=2,$G151&lt;&gt;"Y"),"FSS/CC SIGNATURE MISSING",IF(AND($O151&gt;=3,$H151&lt;&gt;"Y"),"INVESTIGATION NOT OPENED",""))),""))</f>
        <v/>
      </c>
      <c r="U151" s="25">
        <f>IF($A151="",0,IFERROR(MATCH($B151,'Ref_Calendar'!$A$2:$A$500,0),0))</f>
        <v/>
      </c>
      <c r="V151" s="25">
        <f>IF($A151="",0,IFERROR(SUMPRODUCT(MAX(($A$8:$A$307=$A151)*($P$8:$P$307="PASS")*($U$8:$U$307&lt;=$U151)*$U$8:$U$307)),0))</f>
        <v/>
      </c>
      <c r="W151" s="25">
        <f>IF($A151="","",IFERROR(INDEX('Ref_Crosswalk'!$E$2:$E$500,MATCH($A151,'Ref_Crosswalk'!$A$2:$A$500,0)),""))</f>
        <v/>
      </c>
      <c r="X151" s="25">
        <f>IF($A151="","",IFERROR(INDEX('Ref_Crosswalk'!$C$2:$C$500,MATCH($A151,'Ref_Crosswalk'!$A$2:$A$500,0)),""))</f>
        <v/>
      </c>
      <c r="Y151" s="25">
        <f>IF($A151="",0,IF(AND(OR('Out_Dashboard'!$C$5="",$W151='Out_Dashboard'!$C$5),OR('Out_Dashboard'!$C$6="",$X151='Out_Dashboard'!$C$6),OR('Out_Dashboard'!$C$7="",$B151='Out_Dashboard'!$C$7)),1,0))</f>
        <v/>
      </c>
      <c r="Z151" s="25">
        <f>IF(AND($A151&lt;&gt;"",$S151&lt;&gt;"",$Y151=1),SUMPRODUCT(($A$8:$A151&lt;&gt;"")*($S$8:$S151&lt;&gt;"")*($Y$8:$Y151=1)),"")</f>
        <v/>
      </c>
      <c r="AA151" s="25">
        <f>IF(AND($A151&lt;&gt;"",$T151&lt;&gt;"",$Y151=1),SUMPRODUCT(($A$8:$A151&lt;&gt;"")*($T$8:$T151&lt;&gt;"")*($Y$8:$Y151=1)),"")</f>
        <v/>
      </c>
    </row>
    <row r="152">
      <c r="A152" s="13" t="n"/>
      <c r="B152" s="13" t="n"/>
      <c r="C152" s="26" t="n"/>
      <c r="D152" s="26" t="n"/>
      <c r="E152" s="26" t="n"/>
      <c r="F152" s="13" t="n"/>
      <c r="G152" s="13" t="n"/>
      <c r="H152" s="13" t="n"/>
      <c r="I152" s="13" t="n"/>
      <c r="J152" s="23">
        <f>IF($A152="","",IFERROR(INDEX('Ref_Crosswalk'!$F$2:$F$500,MATCH($A152,'Ref_Crosswalk'!$A$2:$A$500,0)),"UNKNOWN"))</f>
        <v/>
      </c>
      <c r="K152" s="24">
        <f>IF($A152="","",IFERROR(INDEX('Ref_Tolerance'!$B$2:$B$9,MATCH($J152,'Ref_Tolerance'!$A$2:$A$9,0)),""))</f>
        <v/>
      </c>
      <c r="L152" s="23">
        <f>IF($A152="","",IFERROR(INDEX('Ref_Tolerance'!$D$2:$D$9,MATCH($J152,'Ref_Tolerance'!$A$2:$A$9,0)),""))</f>
        <v/>
      </c>
      <c r="M152" s="24">
        <f>IF($A152="","",IFERROR(ABS(N($D152))/N($C152),0))</f>
        <v/>
      </c>
      <c r="N152" s="24">
        <f>IF($A152="","",IFERROR(N($E152)/N($C152),0))</f>
        <v/>
      </c>
      <c r="O152" s="23">
        <f>IF($A152="",0,IFERROR(SUMPRODUCT(($A$8:$A$307=$A152)*($P$8:$P$307="FAIL")*($U$8:$U$307&gt;$V152)*($U$8:$U$307&lt;=$U152)),0))</f>
        <v/>
      </c>
      <c r="P152" s="23">
        <f>IF($A152="","",IFERROR(IF(NOT(ISNUMBER($K152)),"CHECK",IF($L152="MARGIN",IF($N152&lt;=$K152,"PASS","FAIL"),IF($M152&lt;=$K152,"PASS","FAIL"))),"CHECK"))</f>
        <v/>
      </c>
      <c r="Q152" s="23">
        <f>IF($A152="","",IFERROR(INDEX('Ref_Tolerance'!$E$2:$E$9,MATCH($J152,'Ref_Tolerance'!$A$2:$A$9,0)),""))</f>
        <v/>
      </c>
      <c r="R152" s="23">
        <f>IF($A152="","",IFERROR(IF($O152=0,"CLEAR",IF($O152=1,"MFR DUE - MANAGER",IF($O152=2,"MFR DUE - FSS/CC SIGNATURE REQUIRED","INVESTIGATION + REPORT OF SURVEY; MSG/CC NOTIFIED"))),""))</f>
        <v/>
      </c>
      <c r="S152" s="23">
        <f>IF($A152="","",IF($O152=2,"WATCH - ONE MORE MISS TRIGGERS INVESTIGATION",""))</f>
        <v/>
      </c>
      <c r="T152" s="23">
        <f>IF($A152="","",IFERROR(IF(AND($O152&gt;=1,$F152&lt;&gt;"Y"),"MFR NOT SUBMITTED",IF(AND($O152&gt;=2,$G152&lt;&gt;"Y"),"FSS/CC SIGNATURE MISSING",IF(AND($O152&gt;=3,$H152&lt;&gt;"Y"),"INVESTIGATION NOT OPENED",""))),""))</f>
        <v/>
      </c>
      <c r="U152" s="25">
        <f>IF($A152="",0,IFERROR(MATCH($B152,'Ref_Calendar'!$A$2:$A$500,0),0))</f>
        <v/>
      </c>
      <c r="V152" s="25">
        <f>IF($A152="",0,IFERROR(SUMPRODUCT(MAX(($A$8:$A$307=$A152)*($P$8:$P$307="PASS")*($U$8:$U$307&lt;=$U152)*$U$8:$U$307)),0))</f>
        <v/>
      </c>
      <c r="W152" s="25">
        <f>IF($A152="","",IFERROR(INDEX('Ref_Crosswalk'!$E$2:$E$500,MATCH($A152,'Ref_Crosswalk'!$A$2:$A$500,0)),""))</f>
        <v/>
      </c>
      <c r="X152" s="25">
        <f>IF($A152="","",IFERROR(INDEX('Ref_Crosswalk'!$C$2:$C$500,MATCH($A152,'Ref_Crosswalk'!$A$2:$A$500,0)),""))</f>
        <v/>
      </c>
      <c r="Y152" s="25">
        <f>IF($A152="",0,IF(AND(OR('Out_Dashboard'!$C$5="",$W152='Out_Dashboard'!$C$5),OR('Out_Dashboard'!$C$6="",$X152='Out_Dashboard'!$C$6),OR('Out_Dashboard'!$C$7="",$B152='Out_Dashboard'!$C$7)),1,0))</f>
        <v/>
      </c>
      <c r="Z152" s="25">
        <f>IF(AND($A152&lt;&gt;"",$S152&lt;&gt;"",$Y152=1),SUMPRODUCT(($A$8:$A152&lt;&gt;"")*($S$8:$S152&lt;&gt;"")*($Y$8:$Y152=1)),"")</f>
        <v/>
      </c>
      <c r="AA152" s="25">
        <f>IF(AND($A152&lt;&gt;"",$T152&lt;&gt;"",$Y152=1),SUMPRODUCT(($A$8:$A152&lt;&gt;"")*($T$8:$T152&lt;&gt;"")*($Y$8:$Y152=1)),"")</f>
        <v/>
      </c>
    </row>
    <row r="153">
      <c r="A153" s="13" t="n"/>
      <c r="B153" s="13" t="n"/>
      <c r="C153" s="26" t="n"/>
      <c r="D153" s="26" t="n"/>
      <c r="E153" s="26" t="n"/>
      <c r="F153" s="13" t="n"/>
      <c r="G153" s="13" t="n"/>
      <c r="H153" s="13" t="n"/>
      <c r="I153" s="13" t="n"/>
      <c r="J153" s="23">
        <f>IF($A153="","",IFERROR(INDEX('Ref_Crosswalk'!$F$2:$F$500,MATCH($A153,'Ref_Crosswalk'!$A$2:$A$500,0)),"UNKNOWN"))</f>
        <v/>
      </c>
      <c r="K153" s="24">
        <f>IF($A153="","",IFERROR(INDEX('Ref_Tolerance'!$B$2:$B$9,MATCH($J153,'Ref_Tolerance'!$A$2:$A$9,0)),""))</f>
        <v/>
      </c>
      <c r="L153" s="23">
        <f>IF($A153="","",IFERROR(INDEX('Ref_Tolerance'!$D$2:$D$9,MATCH($J153,'Ref_Tolerance'!$A$2:$A$9,0)),""))</f>
        <v/>
      </c>
      <c r="M153" s="24">
        <f>IF($A153="","",IFERROR(ABS(N($D153))/N($C153),0))</f>
        <v/>
      </c>
      <c r="N153" s="24">
        <f>IF($A153="","",IFERROR(N($E153)/N($C153),0))</f>
        <v/>
      </c>
      <c r="O153" s="23">
        <f>IF($A153="",0,IFERROR(SUMPRODUCT(($A$8:$A$307=$A153)*($P$8:$P$307="FAIL")*($U$8:$U$307&gt;$V153)*($U$8:$U$307&lt;=$U153)),0))</f>
        <v/>
      </c>
      <c r="P153" s="23">
        <f>IF($A153="","",IFERROR(IF(NOT(ISNUMBER($K153)),"CHECK",IF($L153="MARGIN",IF($N153&lt;=$K153,"PASS","FAIL"),IF($M153&lt;=$K153,"PASS","FAIL"))),"CHECK"))</f>
        <v/>
      </c>
      <c r="Q153" s="23">
        <f>IF($A153="","",IFERROR(INDEX('Ref_Tolerance'!$E$2:$E$9,MATCH($J153,'Ref_Tolerance'!$A$2:$A$9,0)),""))</f>
        <v/>
      </c>
      <c r="R153" s="23">
        <f>IF($A153="","",IFERROR(IF($O153=0,"CLEAR",IF($O153=1,"MFR DUE - MANAGER",IF($O153=2,"MFR DUE - FSS/CC SIGNATURE REQUIRED","INVESTIGATION + REPORT OF SURVEY; MSG/CC NOTIFIED"))),""))</f>
        <v/>
      </c>
      <c r="S153" s="23">
        <f>IF($A153="","",IF($O153=2,"WATCH - ONE MORE MISS TRIGGERS INVESTIGATION",""))</f>
        <v/>
      </c>
      <c r="T153" s="23">
        <f>IF($A153="","",IFERROR(IF(AND($O153&gt;=1,$F153&lt;&gt;"Y"),"MFR NOT SUBMITTED",IF(AND($O153&gt;=2,$G153&lt;&gt;"Y"),"FSS/CC SIGNATURE MISSING",IF(AND($O153&gt;=3,$H153&lt;&gt;"Y"),"INVESTIGATION NOT OPENED",""))),""))</f>
        <v/>
      </c>
      <c r="U153" s="25">
        <f>IF($A153="",0,IFERROR(MATCH($B153,'Ref_Calendar'!$A$2:$A$500,0),0))</f>
        <v/>
      </c>
      <c r="V153" s="25">
        <f>IF($A153="",0,IFERROR(SUMPRODUCT(MAX(($A$8:$A$307=$A153)*($P$8:$P$307="PASS")*($U$8:$U$307&lt;=$U153)*$U$8:$U$307)),0))</f>
        <v/>
      </c>
      <c r="W153" s="25">
        <f>IF($A153="","",IFERROR(INDEX('Ref_Crosswalk'!$E$2:$E$500,MATCH($A153,'Ref_Crosswalk'!$A$2:$A$500,0)),""))</f>
        <v/>
      </c>
      <c r="X153" s="25">
        <f>IF($A153="","",IFERROR(INDEX('Ref_Crosswalk'!$C$2:$C$500,MATCH($A153,'Ref_Crosswalk'!$A$2:$A$500,0)),""))</f>
        <v/>
      </c>
      <c r="Y153" s="25">
        <f>IF($A153="",0,IF(AND(OR('Out_Dashboard'!$C$5="",$W153='Out_Dashboard'!$C$5),OR('Out_Dashboard'!$C$6="",$X153='Out_Dashboard'!$C$6),OR('Out_Dashboard'!$C$7="",$B153='Out_Dashboard'!$C$7)),1,0))</f>
        <v/>
      </c>
      <c r="Z153" s="25">
        <f>IF(AND($A153&lt;&gt;"",$S153&lt;&gt;"",$Y153=1),SUMPRODUCT(($A$8:$A153&lt;&gt;"")*($S$8:$S153&lt;&gt;"")*($Y$8:$Y153=1)),"")</f>
        <v/>
      </c>
      <c r="AA153" s="25">
        <f>IF(AND($A153&lt;&gt;"",$T153&lt;&gt;"",$Y153=1),SUMPRODUCT(($A$8:$A153&lt;&gt;"")*($T$8:$T153&lt;&gt;"")*($Y$8:$Y153=1)),"")</f>
        <v/>
      </c>
    </row>
    <row r="154">
      <c r="A154" s="13" t="n"/>
      <c r="B154" s="13" t="n"/>
      <c r="C154" s="26" t="n"/>
      <c r="D154" s="26" t="n"/>
      <c r="E154" s="26" t="n"/>
      <c r="F154" s="13" t="n"/>
      <c r="G154" s="13" t="n"/>
      <c r="H154" s="13" t="n"/>
      <c r="I154" s="13" t="n"/>
      <c r="J154" s="23">
        <f>IF($A154="","",IFERROR(INDEX('Ref_Crosswalk'!$F$2:$F$500,MATCH($A154,'Ref_Crosswalk'!$A$2:$A$500,0)),"UNKNOWN"))</f>
        <v/>
      </c>
      <c r="K154" s="24">
        <f>IF($A154="","",IFERROR(INDEX('Ref_Tolerance'!$B$2:$B$9,MATCH($J154,'Ref_Tolerance'!$A$2:$A$9,0)),""))</f>
        <v/>
      </c>
      <c r="L154" s="23">
        <f>IF($A154="","",IFERROR(INDEX('Ref_Tolerance'!$D$2:$D$9,MATCH($J154,'Ref_Tolerance'!$A$2:$A$9,0)),""))</f>
        <v/>
      </c>
      <c r="M154" s="24">
        <f>IF($A154="","",IFERROR(ABS(N($D154))/N($C154),0))</f>
        <v/>
      </c>
      <c r="N154" s="24">
        <f>IF($A154="","",IFERROR(N($E154)/N($C154),0))</f>
        <v/>
      </c>
      <c r="O154" s="23">
        <f>IF($A154="",0,IFERROR(SUMPRODUCT(($A$8:$A$307=$A154)*($P$8:$P$307="FAIL")*($U$8:$U$307&gt;$V154)*($U$8:$U$307&lt;=$U154)),0))</f>
        <v/>
      </c>
      <c r="P154" s="23">
        <f>IF($A154="","",IFERROR(IF(NOT(ISNUMBER($K154)),"CHECK",IF($L154="MARGIN",IF($N154&lt;=$K154,"PASS","FAIL"),IF($M154&lt;=$K154,"PASS","FAIL"))),"CHECK"))</f>
        <v/>
      </c>
      <c r="Q154" s="23">
        <f>IF($A154="","",IFERROR(INDEX('Ref_Tolerance'!$E$2:$E$9,MATCH($J154,'Ref_Tolerance'!$A$2:$A$9,0)),""))</f>
        <v/>
      </c>
      <c r="R154" s="23">
        <f>IF($A154="","",IFERROR(IF($O154=0,"CLEAR",IF($O154=1,"MFR DUE - MANAGER",IF($O154=2,"MFR DUE - FSS/CC SIGNATURE REQUIRED","INVESTIGATION + REPORT OF SURVEY; MSG/CC NOTIFIED"))),""))</f>
        <v/>
      </c>
      <c r="S154" s="23">
        <f>IF($A154="","",IF($O154=2,"WATCH - ONE MORE MISS TRIGGERS INVESTIGATION",""))</f>
        <v/>
      </c>
      <c r="T154" s="23">
        <f>IF($A154="","",IFERROR(IF(AND($O154&gt;=1,$F154&lt;&gt;"Y"),"MFR NOT SUBMITTED",IF(AND($O154&gt;=2,$G154&lt;&gt;"Y"),"FSS/CC SIGNATURE MISSING",IF(AND($O154&gt;=3,$H154&lt;&gt;"Y"),"INVESTIGATION NOT OPENED",""))),""))</f>
        <v/>
      </c>
      <c r="U154" s="25">
        <f>IF($A154="",0,IFERROR(MATCH($B154,'Ref_Calendar'!$A$2:$A$500,0),0))</f>
        <v/>
      </c>
      <c r="V154" s="25">
        <f>IF($A154="",0,IFERROR(SUMPRODUCT(MAX(($A$8:$A$307=$A154)*($P$8:$P$307="PASS")*($U$8:$U$307&lt;=$U154)*$U$8:$U$307)),0))</f>
        <v/>
      </c>
      <c r="W154" s="25">
        <f>IF($A154="","",IFERROR(INDEX('Ref_Crosswalk'!$E$2:$E$500,MATCH($A154,'Ref_Crosswalk'!$A$2:$A$500,0)),""))</f>
        <v/>
      </c>
      <c r="X154" s="25">
        <f>IF($A154="","",IFERROR(INDEX('Ref_Crosswalk'!$C$2:$C$500,MATCH($A154,'Ref_Crosswalk'!$A$2:$A$500,0)),""))</f>
        <v/>
      </c>
      <c r="Y154" s="25">
        <f>IF($A154="",0,IF(AND(OR('Out_Dashboard'!$C$5="",$W154='Out_Dashboard'!$C$5),OR('Out_Dashboard'!$C$6="",$X154='Out_Dashboard'!$C$6),OR('Out_Dashboard'!$C$7="",$B154='Out_Dashboard'!$C$7)),1,0))</f>
        <v/>
      </c>
      <c r="Z154" s="25">
        <f>IF(AND($A154&lt;&gt;"",$S154&lt;&gt;"",$Y154=1),SUMPRODUCT(($A$8:$A154&lt;&gt;"")*($S$8:$S154&lt;&gt;"")*($Y$8:$Y154=1)),"")</f>
        <v/>
      </c>
      <c r="AA154" s="25">
        <f>IF(AND($A154&lt;&gt;"",$T154&lt;&gt;"",$Y154=1),SUMPRODUCT(($A$8:$A154&lt;&gt;"")*($T$8:$T154&lt;&gt;"")*($Y$8:$Y154=1)),"")</f>
        <v/>
      </c>
    </row>
    <row r="155">
      <c r="A155" s="13" t="n"/>
      <c r="B155" s="13" t="n"/>
      <c r="C155" s="26" t="n"/>
      <c r="D155" s="26" t="n"/>
      <c r="E155" s="26" t="n"/>
      <c r="F155" s="13" t="n"/>
      <c r="G155" s="13" t="n"/>
      <c r="H155" s="13" t="n"/>
      <c r="I155" s="13" t="n"/>
      <c r="J155" s="23">
        <f>IF($A155="","",IFERROR(INDEX('Ref_Crosswalk'!$F$2:$F$500,MATCH($A155,'Ref_Crosswalk'!$A$2:$A$500,0)),"UNKNOWN"))</f>
        <v/>
      </c>
      <c r="K155" s="24">
        <f>IF($A155="","",IFERROR(INDEX('Ref_Tolerance'!$B$2:$B$9,MATCH($J155,'Ref_Tolerance'!$A$2:$A$9,0)),""))</f>
        <v/>
      </c>
      <c r="L155" s="23">
        <f>IF($A155="","",IFERROR(INDEX('Ref_Tolerance'!$D$2:$D$9,MATCH($J155,'Ref_Tolerance'!$A$2:$A$9,0)),""))</f>
        <v/>
      </c>
      <c r="M155" s="24">
        <f>IF($A155="","",IFERROR(ABS(N($D155))/N($C155),0))</f>
        <v/>
      </c>
      <c r="N155" s="24">
        <f>IF($A155="","",IFERROR(N($E155)/N($C155),0))</f>
        <v/>
      </c>
      <c r="O155" s="23">
        <f>IF($A155="",0,IFERROR(SUMPRODUCT(($A$8:$A$307=$A155)*($P$8:$P$307="FAIL")*($U$8:$U$307&gt;$V155)*($U$8:$U$307&lt;=$U155)),0))</f>
        <v/>
      </c>
      <c r="P155" s="23">
        <f>IF($A155="","",IFERROR(IF(NOT(ISNUMBER($K155)),"CHECK",IF($L155="MARGIN",IF($N155&lt;=$K155,"PASS","FAIL"),IF($M155&lt;=$K155,"PASS","FAIL"))),"CHECK"))</f>
        <v/>
      </c>
      <c r="Q155" s="23">
        <f>IF($A155="","",IFERROR(INDEX('Ref_Tolerance'!$E$2:$E$9,MATCH($J155,'Ref_Tolerance'!$A$2:$A$9,0)),""))</f>
        <v/>
      </c>
      <c r="R155" s="23">
        <f>IF($A155="","",IFERROR(IF($O155=0,"CLEAR",IF($O155=1,"MFR DUE - MANAGER",IF($O155=2,"MFR DUE - FSS/CC SIGNATURE REQUIRED","INVESTIGATION + REPORT OF SURVEY; MSG/CC NOTIFIED"))),""))</f>
        <v/>
      </c>
      <c r="S155" s="23">
        <f>IF($A155="","",IF($O155=2,"WATCH - ONE MORE MISS TRIGGERS INVESTIGATION",""))</f>
        <v/>
      </c>
      <c r="T155" s="23">
        <f>IF($A155="","",IFERROR(IF(AND($O155&gt;=1,$F155&lt;&gt;"Y"),"MFR NOT SUBMITTED",IF(AND($O155&gt;=2,$G155&lt;&gt;"Y"),"FSS/CC SIGNATURE MISSING",IF(AND($O155&gt;=3,$H155&lt;&gt;"Y"),"INVESTIGATION NOT OPENED",""))),""))</f>
        <v/>
      </c>
      <c r="U155" s="25">
        <f>IF($A155="",0,IFERROR(MATCH($B155,'Ref_Calendar'!$A$2:$A$500,0),0))</f>
        <v/>
      </c>
      <c r="V155" s="25">
        <f>IF($A155="",0,IFERROR(SUMPRODUCT(MAX(($A$8:$A$307=$A155)*($P$8:$P$307="PASS")*($U$8:$U$307&lt;=$U155)*$U$8:$U$307)),0))</f>
        <v/>
      </c>
      <c r="W155" s="25">
        <f>IF($A155="","",IFERROR(INDEX('Ref_Crosswalk'!$E$2:$E$500,MATCH($A155,'Ref_Crosswalk'!$A$2:$A$500,0)),""))</f>
        <v/>
      </c>
      <c r="X155" s="25">
        <f>IF($A155="","",IFERROR(INDEX('Ref_Crosswalk'!$C$2:$C$500,MATCH($A155,'Ref_Crosswalk'!$A$2:$A$500,0)),""))</f>
        <v/>
      </c>
      <c r="Y155" s="25">
        <f>IF($A155="",0,IF(AND(OR('Out_Dashboard'!$C$5="",$W155='Out_Dashboard'!$C$5),OR('Out_Dashboard'!$C$6="",$X155='Out_Dashboard'!$C$6),OR('Out_Dashboard'!$C$7="",$B155='Out_Dashboard'!$C$7)),1,0))</f>
        <v/>
      </c>
      <c r="Z155" s="25">
        <f>IF(AND($A155&lt;&gt;"",$S155&lt;&gt;"",$Y155=1),SUMPRODUCT(($A$8:$A155&lt;&gt;"")*($S$8:$S155&lt;&gt;"")*($Y$8:$Y155=1)),"")</f>
        <v/>
      </c>
      <c r="AA155" s="25">
        <f>IF(AND($A155&lt;&gt;"",$T155&lt;&gt;"",$Y155=1),SUMPRODUCT(($A$8:$A155&lt;&gt;"")*($T$8:$T155&lt;&gt;"")*($Y$8:$Y155=1)),"")</f>
        <v/>
      </c>
    </row>
    <row r="156">
      <c r="A156" s="13" t="n"/>
      <c r="B156" s="13" t="n"/>
      <c r="C156" s="26" t="n"/>
      <c r="D156" s="26" t="n"/>
      <c r="E156" s="26" t="n"/>
      <c r="F156" s="13" t="n"/>
      <c r="G156" s="13" t="n"/>
      <c r="H156" s="13" t="n"/>
      <c r="I156" s="13" t="n"/>
      <c r="J156" s="23">
        <f>IF($A156="","",IFERROR(INDEX('Ref_Crosswalk'!$F$2:$F$500,MATCH($A156,'Ref_Crosswalk'!$A$2:$A$500,0)),"UNKNOWN"))</f>
        <v/>
      </c>
      <c r="K156" s="24">
        <f>IF($A156="","",IFERROR(INDEX('Ref_Tolerance'!$B$2:$B$9,MATCH($J156,'Ref_Tolerance'!$A$2:$A$9,0)),""))</f>
        <v/>
      </c>
      <c r="L156" s="23">
        <f>IF($A156="","",IFERROR(INDEX('Ref_Tolerance'!$D$2:$D$9,MATCH($J156,'Ref_Tolerance'!$A$2:$A$9,0)),""))</f>
        <v/>
      </c>
      <c r="M156" s="24">
        <f>IF($A156="","",IFERROR(ABS(N($D156))/N($C156),0))</f>
        <v/>
      </c>
      <c r="N156" s="24">
        <f>IF($A156="","",IFERROR(N($E156)/N($C156),0))</f>
        <v/>
      </c>
      <c r="O156" s="23">
        <f>IF($A156="",0,IFERROR(SUMPRODUCT(($A$8:$A$307=$A156)*($P$8:$P$307="FAIL")*($U$8:$U$307&gt;$V156)*($U$8:$U$307&lt;=$U156)),0))</f>
        <v/>
      </c>
      <c r="P156" s="23">
        <f>IF($A156="","",IFERROR(IF(NOT(ISNUMBER($K156)),"CHECK",IF($L156="MARGIN",IF($N156&lt;=$K156,"PASS","FAIL"),IF($M156&lt;=$K156,"PASS","FAIL"))),"CHECK"))</f>
        <v/>
      </c>
      <c r="Q156" s="23">
        <f>IF($A156="","",IFERROR(INDEX('Ref_Tolerance'!$E$2:$E$9,MATCH($J156,'Ref_Tolerance'!$A$2:$A$9,0)),""))</f>
        <v/>
      </c>
      <c r="R156" s="23">
        <f>IF($A156="","",IFERROR(IF($O156=0,"CLEAR",IF($O156=1,"MFR DUE - MANAGER",IF($O156=2,"MFR DUE - FSS/CC SIGNATURE REQUIRED","INVESTIGATION + REPORT OF SURVEY; MSG/CC NOTIFIED"))),""))</f>
        <v/>
      </c>
      <c r="S156" s="23">
        <f>IF($A156="","",IF($O156=2,"WATCH - ONE MORE MISS TRIGGERS INVESTIGATION",""))</f>
        <v/>
      </c>
      <c r="T156" s="23">
        <f>IF($A156="","",IFERROR(IF(AND($O156&gt;=1,$F156&lt;&gt;"Y"),"MFR NOT SUBMITTED",IF(AND($O156&gt;=2,$G156&lt;&gt;"Y"),"FSS/CC SIGNATURE MISSING",IF(AND($O156&gt;=3,$H156&lt;&gt;"Y"),"INVESTIGATION NOT OPENED",""))),""))</f>
        <v/>
      </c>
      <c r="U156" s="25">
        <f>IF($A156="",0,IFERROR(MATCH($B156,'Ref_Calendar'!$A$2:$A$500,0),0))</f>
        <v/>
      </c>
      <c r="V156" s="25">
        <f>IF($A156="",0,IFERROR(SUMPRODUCT(MAX(($A$8:$A$307=$A156)*($P$8:$P$307="PASS")*($U$8:$U$307&lt;=$U156)*$U$8:$U$307)),0))</f>
        <v/>
      </c>
      <c r="W156" s="25">
        <f>IF($A156="","",IFERROR(INDEX('Ref_Crosswalk'!$E$2:$E$500,MATCH($A156,'Ref_Crosswalk'!$A$2:$A$500,0)),""))</f>
        <v/>
      </c>
      <c r="X156" s="25">
        <f>IF($A156="","",IFERROR(INDEX('Ref_Crosswalk'!$C$2:$C$500,MATCH($A156,'Ref_Crosswalk'!$A$2:$A$500,0)),""))</f>
        <v/>
      </c>
      <c r="Y156" s="25">
        <f>IF($A156="",0,IF(AND(OR('Out_Dashboard'!$C$5="",$W156='Out_Dashboard'!$C$5),OR('Out_Dashboard'!$C$6="",$X156='Out_Dashboard'!$C$6),OR('Out_Dashboard'!$C$7="",$B156='Out_Dashboard'!$C$7)),1,0))</f>
        <v/>
      </c>
      <c r="Z156" s="25">
        <f>IF(AND($A156&lt;&gt;"",$S156&lt;&gt;"",$Y156=1),SUMPRODUCT(($A$8:$A156&lt;&gt;"")*($S$8:$S156&lt;&gt;"")*($Y$8:$Y156=1)),"")</f>
        <v/>
      </c>
      <c r="AA156" s="25">
        <f>IF(AND($A156&lt;&gt;"",$T156&lt;&gt;"",$Y156=1),SUMPRODUCT(($A$8:$A156&lt;&gt;"")*($T$8:$T156&lt;&gt;"")*($Y$8:$Y156=1)),"")</f>
        <v/>
      </c>
    </row>
    <row r="157">
      <c r="A157" s="13" t="n"/>
      <c r="B157" s="13" t="n"/>
      <c r="C157" s="26" t="n"/>
      <c r="D157" s="26" t="n"/>
      <c r="E157" s="26" t="n"/>
      <c r="F157" s="13" t="n"/>
      <c r="G157" s="13" t="n"/>
      <c r="H157" s="13" t="n"/>
      <c r="I157" s="13" t="n"/>
      <c r="J157" s="23">
        <f>IF($A157="","",IFERROR(INDEX('Ref_Crosswalk'!$F$2:$F$500,MATCH($A157,'Ref_Crosswalk'!$A$2:$A$500,0)),"UNKNOWN"))</f>
        <v/>
      </c>
      <c r="K157" s="24">
        <f>IF($A157="","",IFERROR(INDEX('Ref_Tolerance'!$B$2:$B$9,MATCH($J157,'Ref_Tolerance'!$A$2:$A$9,0)),""))</f>
        <v/>
      </c>
      <c r="L157" s="23">
        <f>IF($A157="","",IFERROR(INDEX('Ref_Tolerance'!$D$2:$D$9,MATCH($J157,'Ref_Tolerance'!$A$2:$A$9,0)),""))</f>
        <v/>
      </c>
      <c r="M157" s="24">
        <f>IF($A157="","",IFERROR(ABS(N($D157))/N($C157),0))</f>
        <v/>
      </c>
      <c r="N157" s="24">
        <f>IF($A157="","",IFERROR(N($E157)/N($C157),0))</f>
        <v/>
      </c>
      <c r="O157" s="23">
        <f>IF($A157="",0,IFERROR(SUMPRODUCT(($A$8:$A$307=$A157)*($P$8:$P$307="FAIL")*($U$8:$U$307&gt;$V157)*($U$8:$U$307&lt;=$U157)),0))</f>
        <v/>
      </c>
      <c r="P157" s="23">
        <f>IF($A157="","",IFERROR(IF(NOT(ISNUMBER($K157)),"CHECK",IF($L157="MARGIN",IF($N157&lt;=$K157,"PASS","FAIL"),IF($M157&lt;=$K157,"PASS","FAIL"))),"CHECK"))</f>
        <v/>
      </c>
      <c r="Q157" s="23">
        <f>IF($A157="","",IFERROR(INDEX('Ref_Tolerance'!$E$2:$E$9,MATCH($J157,'Ref_Tolerance'!$A$2:$A$9,0)),""))</f>
        <v/>
      </c>
      <c r="R157" s="23">
        <f>IF($A157="","",IFERROR(IF($O157=0,"CLEAR",IF($O157=1,"MFR DUE - MANAGER",IF($O157=2,"MFR DUE - FSS/CC SIGNATURE REQUIRED","INVESTIGATION + REPORT OF SURVEY; MSG/CC NOTIFIED"))),""))</f>
        <v/>
      </c>
      <c r="S157" s="23">
        <f>IF($A157="","",IF($O157=2,"WATCH - ONE MORE MISS TRIGGERS INVESTIGATION",""))</f>
        <v/>
      </c>
      <c r="T157" s="23">
        <f>IF($A157="","",IFERROR(IF(AND($O157&gt;=1,$F157&lt;&gt;"Y"),"MFR NOT SUBMITTED",IF(AND($O157&gt;=2,$G157&lt;&gt;"Y"),"FSS/CC SIGNATURE MISSING",IF(AND($O157&gt;=3,$H157&lt;&gt;"Y"),"INVESTIGATION NOT OPENED",""))),""))</f>
        <v/>
      </c>
      <c r="U157" s="25">
        <f>IF($A157="",0,IFERROR(MATCH($B157,'Ref_Calendar'!$A$2:$A$500,0),0))</f>
        <v/>
      </c>
      <c r="V157" s="25">
        <f>IF($A157="",0,IFERROR(SUMPRODUCT(MAX(($A$8:$A$307=$A157)*($P$8:$P$307="PASS")*($U$8:$U$307&lt;=$U157)*$U$8:$U$307)),0))</f>
        <v/>
      </c>
      <c r="W157" s="25">
        <f>IF($A157="","",IFERROR(INDEX('Ref_Crosswalk'!$E$2:$E$500,MATCH($A157,'Ref_Crosswalk'!$A$2:$A$500,0)),""))</f>
        <v/>
      </c>
      <c r="X157" s="25">
        <f>IF($A157="","",IFERROR(INDEX('Ref_Crosswalk'!$C$2:$C$500,MATCH($A157,'Ref_Crosswalk'!$A$2:$A$500,0)),""))</f>
        <v/>
      </c>
      <c r="Y157" s="25">
        <f>IF($A157="",0,IF(AND(OR('Out_Dashboard'!$C$5="",$W157='Out_Dashboard'!$C$5),OR('Out_Dashboard'!$C$6="",$X157='Out_Dashboard'!$C$6),OR('Out_Dashboard'!$C$7="",$B157='Out_Dashboard'!$C$7)),1,0))</f>
        <v/>
      </c>
      <c r="Z157" s="25">
        <f>IF(AND($A157&lt;&gt;"",$S157&lt;&gt;"",$Y157=1),SUMPRODUCT(($A$8:$A157&lt;&gt;"")*($S$8:$S157&lt;&gt;"")*($Y$8:$Y157=1)),"")</f>
        <v/>
      </c>
      <c r="AA157" s="25">
        <f>IF(AND($A157&lt;&gt;"",$T157&lt;&gt;"",$Y157=1),SUMPRODUCT(($A$8:$A157&lt;&gt;"")*($T$8:$T157&lt;&gt;"")*($Y$8:$Y157=1)),"")</f>
        <v/>
      </c>
    </row>
    <row r="158">
      <c r="A158" s="13" t="n"/>
      <c r="B158" s="13" t="n"/>
      <c r="C158" s="26" t="n"/>
      <c r="D158" s="26" t="n"/>
      <c r="E158" s="26" t="n"/>
      <c r="F158" s="13" t="n"/>
      <c r="G158" s="13" t="n"/>
      <c r="H158" s="13" t="n"/>
      <c r="I158" s="13" t="n"/>
      <c r="J158" s="23">
        <f>IF($A158="","",IFERROR(INDEX('Ref_Crosswalk'!$F$2:$F$500,MATCH($A158,'Ref_Crosswalk'!$A$2:$A$500,0)),"UNKNOWN"))</f>
        <v/>
      </c>
      <c r="K158" s="24">
        <f>IF($A158="","",IFERROR(INDEX('Ref_Tolerance'!$B$2:$B$9,MATCH($J158,'Ref_Tolerance'!$A$2:$A$9,0)),""))</f>
        <v/>
      </c>
      <c r="L158" s="23">
        <f>IF($A158="","",IFERROR(INDEX('Ref_Tolerance'!$D$2:$D$9,MATCH($J158,'Ref_Tolerance'!$A$2:$A$9,0)),""))</f>
        <v/>
      </c>
      <c r="M158" s="24">
        <f>IF($A158="","",IFERROR(ABS(N($D158))/N($C158),0))</f>
        <v/>
      </c>
      <c r="N158" s="24">
        <f>IF($A158="","",IFERROR(N($E158)/N($C158),0))</f>
        <v/>
      </c>
      <c r="O158" s="23">
        <f>IF($A158="",0,IFERROR(SUMPRODUCT(($A$8:$A$307=$A158)*($P$8:$P$307="FAIL")*($U$8:$U$307&gt;$V158)*($U$8:$U$307&lt;=$U158)),0))</f>
        <v/>
      </c>
      <c r="P158" s="23">
        <f>IF($A158="","",IFERROR(IF(NOT(ISNUMBER($K158)),"CHECK",IF($L158="MARGIN",IF($N158&lt;=$K158,"PASS","FAIL"),IF($M158&lt;=$K158,"PASS","FAIL"))),"CHECK"))</f>
        <v/>
      </c>
      <c r="Q158" s="23">
        <f>IF($A158="","",IFERROR(INDEX('Ref_Tolerance'!$E$2:$E$9,MATCH($J158,'Ref_Tolerance'!$A$2:$A$9,0)),""))</f>
        <v/>
      </c>
      <c r="R158" s="23">
        <f>IF($A158="","",IFERROR(IF($O158=0,"CLEAR",IF($O158=1,"MFR DUE - MANAGER",IF($O158=2,"MFR DUE - FSS/CC SIGNATURE REQUIRED","INVESTIGATION + REPORT OF SURVEY; MSG/CC NOTIFIED"))),""))</f>
        <v/>
      </c>
      <c r="S158" s="23">
        <f>IF($A158="","",IF($O158=2,"WATCH - ONE MORE MISS TRIGGERS INVESTIGATION",""))</f>
        <v/>
      </c>
      <c r="T158" s="23">
        <f>IF($A158="","",IFERROR(IF(AND($O158&gt;=1,$F158&lt;&gt;"Y"),"MFR NOT SUBMITTED",IF(AND($O158&gt;=2,$G158&lt;&gt;"Y"),"FSS/CC SIGNATURE MISSING",IF(AND($O158&gt;=3,$H158&lt;&gt;"Y"),"INVESTIGATION NOT OPENED",""))),""))</f>
        <v/>
      </c>
      <c r="U158" s="25">
        <f>IF($A158="",0,IFERROR(MATCH($B158,'Ref_Calendar'!$A$2:$A$500,0),0))</f>
        <v/>
      </c>
      <c r="V158" s="25">
        <f>IF($A158="",0,IFERROR(SUMPRODUCT(MAX(($A$8:$A$307=$A158)*($P$8:$P$307="PASS")*($U$8:$U$307&lt;=$U158)*$U$8:$U$307)),0))</f>
        <v/>
      </c>
      <c r="W158" s="25">
        <f>IF($A158="","",IFERROR(INDEX('Ref_Crosswalk'!$E$2:$E$500,MATCH($A158,'Ref_Crosswalk'!$A$2:$A$500,0)),""))</f>
        <v/>
      </c>
      <c r="X158" s="25">
        <f>IF($A158="","",IFERROR(INDEX('Ref_Crosswalk'!$C$2:$C$500,MATCH($A158,'Ref_Crosswalk'!$A$2:$A$500,0)),""))</f>
        <v/>
      </c>
      <c r="Y158" s="25">
        <f>IF($A158="",0,IF(AND(OR('Out_Dashboard'!$C$5="",$W158='Out_Dashboard'!$C$5),OR('Out_Dashboard'!$C$6="",$X158='Out_Dashboard'!$C$6),OR('Out_Dashboard'!$C$7="",$B158='Out_Dashboard'!$C$7)),1,0))</f>
        <v/>
      </c>
      <c r="Z158" s="25">
        <f>IF(AND($A158&lt;&gt;"",$S158&lt;&gt;"",$Y158=1),SUMPRODUCT(($A$8:$A158&lt;&gt;"")*($S$8:$S158&lt;&gt;"")*($Y$8:$Y158=1)),"")</f>
        <v/>
      </c>
      <c r="AA158" s="25">
        <f>IF(AND($A158&lt;&gt;"",$T158&lt;&gt;"",$Y158=1),SUMPRODUCT(($A$8:$A158&lt;&gt;"")*($T$8:$T158&lt;&gt;"")*($Y$8:$Y158=1)),"")</f>
        <v/>
      </c>
    </row>
    <row r="159">
      <c r="A159" s="13" t="n"/>
      <c r="B159" s="13" t="n"/>
      <c r="C159" s="26" t="n"/>
      <c r="D159" s="26" t="n"/>
      <c r="E159" s="26" t="n"/>
      <c r="F159" s="13" t="n"/>
      <c r="G159" s="13" t="n"/>
      <c r="H159" s="13" t="n"/>
      <c r="I159" s="13" t="n"/>
      <c r="J159" s="23">
        <f>IF($A159="","",IFERROR(INDEX('Ref_Crosswalk'!$F$2:$F$500,MATCH($A159,'Ref_Crosswalk'!$A$2:$A$500,0)),"UNKNOWN"))</f>
        <v/>
      </c>
      <c r="K159" s="24">
        <f>IF($A159="","",IFERROR(INDEX('Ref_Tolerance'!$B$2:$B$9,MATCH($J159,'Ref_Tolerance'!$A$2:$A$9,0)),""))</f>
        <v/>
      </c>
      <c r="L159" s="23">
        <f>IF($A159="","",IFERROR(INDEX('Ref_Tolerance'!$D$2:$D$9,MATCH($J159,'Ref_Tolerance'!$A$2:$A$9,0)),""))</f>
        <v/>
      </c>
      <c r="M159" s="24">
        <f>IF($A159="","",IFERROR(ABS(N($D159))/N($C159),0))</f>
        <v/>
      </c>
      <c r="N159" s="24">
        <f>IF($A159="","",IFERROR(N($E159)/N($C159),0))</f>
        <v/>
      </c>
      <c r="O159" s="23">
        <f>IF($A159="",0,IFERROR(SUMPRODUCT(($A$8:$A$307=$A159)*($P$8:$P$307="FAIL")*($U$8:$U$307&gt;$V159)*($U$8:$U$307&lt;=$U159)),0))</f>
        <v/>
      </c>
      <c r="P159" s="23">
        <f>IF($A159="","",IFERROR(IF(NOT(ISNUMBER($K159)),"CHECK",IF($L159="MARGIN",IF($N159&lt;=$K159,"PASS","FAIL"),IF($M159&lt;=$K159,"PASS","FAIL"))),"CHECK"))</f>
        <v/>
      </c>
      <c r="Q159" s="23">
        <f>IF($A159="","",IFERROR(INDEX('Ref_Tolerance'!$E$2:$E$9,MATCH($J159,'Ref_Tolerance'!$A$2:$A$9,0)),""))</f>
        <v/>
      </c>
      <c r="R159" s="23">
        <f>IF($A159="","",IFERROR(IF($O159=0,"CLEAR",IF($O159=1,"MFR DUE - MANAGER",IF($O159=2,"MFR DUE - FSS/CC SIGNATURE REQUIRED","INVESTIGATION + REPORT OF SURVEY; MSG/CC NOTIFIED"))),""))</f>
        <v/>
      </c>
      <c r="S159" s="23">
        <f>IF($A159="","",IF($O159=2,"WATCH - ONE MORE MISS TRIGGERS INVESTIGATION",""))</f>
        <v/>
      </c>
      <c r="T159" s="23">
        <f>IF($A159="","",IFERROR(IF(AND($O159&gt;=1,$F159&lt;&gt;"Y"),"MFR NOT SUBMITTED",IF(AND($O159&gt;=2,$G159&lt;&gt;"Y"),"FSS/CC SIGNATURE MISSING",IF(AND($O159&gt;=3,$H159&lt;&gt;"Y"),"INVESTIGATION NOT OPENED",""))),""))</f>
        <v/>
      </c>
      <c r="U159" s="25">
        <f>IF($A159="",0,IFERROR(MATCH($B159,'Ref_Calendar'!$A$2:$A$500,0),0))</f>
        <v/>
      </c>
      <c r="V159" s="25">
        <f>IF($A159="",0,IFERROR(SUMPRODUCT(MAX(($A$8:$A$307=$A159)*($P$8:$P$307="PASS")*($U$8:$U$307&lt;=$U159)*$U$8:$U$307)),0))</f>
        <v/>
      </c>
      <c r="W159" s="25">
        <f>IF($A159="","",IFERROR(INDEX('Ref_Crosswalk'!$E$2:$E$500,MATCH($A159,'Ref_Crosswalk'!$A$2:$A$500,0)),""))</f>
        <v/>
      </c>
      <c r="X159" s="25">
        <f>IF($A159="","",IFERROR(INDEX('Ref_Crosswalk'!$C$2:$C$500,MATCH($A159,'Ref_Crosswalk'!$A$2:$A$500,0)),""))</f>
        <v/>
      </c>
      <c r="Y159" s="25">
        <f>IF($A159="",0,IF(AND(OR('Out_Dashboard'!$C$5="",$W159='Out_Dashboard'!$C$5),OR('Out_Dashboard'!$C$6="",$X159='Out_Dashboard'!$C$6),OR('Out_Dashboard'!$C$7="",$B159='Out_Dashboard'!$C$7)),1,0))</f>
        <v/>
      </c>
      <c r="Z159" s="25">
        <f>IF(AND($A159&lt;&gt;"",$S159&lt;&gt;"",$Y159=1),SUMPRODUCT(($A$8:$A159&lt;&gt;"")*($S$8:$S159&lt;&gt;"")*($Y$8:$Y159=1)),"")</f>
        <v/>
      </c>
      <c r="AA159" s="25">
        <f>IF(AND($A159&lt;&gt;"",$T159&lt;&gt;"",$Y159=1),SUMPRODUCT(($A$8:$A159&lt;&gt;"")*($T$8:$T159&lt;&gt;"")*($Y$8:$Y159=1)),"")</f>
        <v/>
      </c>
    </row>
    <row r="160">
      <c r="A160" s="13" t="n"/>
      <c r="B160" s="13" t="n"/>
      <c r="C160" s="26" t="n"/>
      <c r="D160" s="26" t="n"/>
      <c r="E160" s="26" t="n"/>
      <c r="F160" s="13" t="n"/>
      <c r="G160" s="13" t="n"/>
      <c r="H160" s="13" t="n"/>
      <c r="I160" s="13" t="n"/>
      <c r="J160" s="23">
        <f>IF($A160="","",IFERROR(INDEX('Ref_Crosswalk'!$F$2:$F$500,MATCH($A160,'Ref_Crosswalk'!$A$2:$A$500,0)),"UNKNOWN"))</f>
        <v/>
      </c>
      <c r="K160" s="24">
        <f>IF($A160="","",IFERROR(INDEX('Ref_Tolerance'!$B$2:$B$9,MATCH($J160,'Ref_Tolerance'!$A$2:$A$9,0)),""))</f>
        <v/>
      </c>
      <c r="L160" s="23">
        <f>IF($A160="","",IFERROR(INDEX('Ref_Tolerance'!$D$2:$D$9,MATCH($J160,'Ref_Tolerance'!$A$2:$A$9,0)),""))</f>
        <v/>
      </c>
      <c r="M160" s="24">
        <f>IF($A160="","",IFERROR(ABS(N($D160))/N($C160),0))</f>
        <v/>
      </c>
      <c r="N160" s="24">
        <f>IF($A160="","",IFERROR(N($E160)/N($C160),0))</f>
        <v/>
      </c>
      <c r="O160" s="23">
        <f>IF($A160="",0,IFERROR(SUMPRODUCT(($A$8:$A$307=$A160)*($P$8:$P$307="FAIL")*($U$8:$U$307&gt;$V160)*($U$8:$U$307&lt;=$U160)),0))</f>
        <v/>
      </c>
      <c r="P160" s="23">
        <f>IF($A160="","",IFERROR(IF(NOT(ISNUMBER($K160)),"CHECK",IF($L160="MARGIN",IF($N160&lt;=$K160,"PASS","FAIL"),IF($M160&lt;=$K160,"PASS","FAIL"))),"CHECK"))</f>
        <v/>
      </c>
      <c r="Q160" s="23">
        <f>IF($A160="","",IFERROR(INDEX('Ref_Tolerance'!$E$2:$E$9,MATCH($J160,'Ref_Tolerance'!$A$2:$A$9,0)),""))</f>
        <v/>
      </c>
      <c r="R160" s="23">
        <f>IF($A160="","",IFERROR(IF($O160=0,"CLEAR",IF($O160=1,"MFR DUE - MANAGER",IF($O160=2,"MFR DUE - FSS/CC SIGNATURE REQUIRED","INVESTIGATION + REPORT OF SURVEY; MSG/CC NOTIFIED"))),""))</f>
        <v/>
      </c>
      <c r="S160" s="23">
        <f>IF($A160="","",IF($O160=2,"WATCH - ONE MORE MISS TRIGGERS INVESTIGATION",""))</f>
        <v/>
      </c>
      <c r="T160" s="23">
        <f>IF($A160="","",IFERROR(IF(AND($O160&gt;=1,$F160&lt;&gt;"Y"),"MFR NOT SUBMITTED",IF(AND($O160&gt;=2,$G160&lt;&gt;"Y"),"FSS/CC SIGNATURE MISSING",IF(AND($O160&gt;=3,$H160&lt;&gt;"Y"),"INVESTIGATION NOT OPENED",""))),""))</f>
        <v/>
      </c>
      <c r="U160" s="25">
        <f>IF($A160="",0,IFERROR(MATCH($B160,'Ref_Calendar'!$A$2:$A$500,0),0))</f>
        <v/>
      </c>
      <c r="V160" s="25">
        <f>IF($A160="",0,IFERROR(SUMPRODUCT(MAX(($A$8:$A$307=$A160)*($P$8:$P$307="PASS")*($U$8:$U$307&lt;=$U160)*$U$8:$U$307)),0))</f>
        <v/>
      </c>
      <c r="W160" s="25">
        <f>IF($A160="","",IFERROR(INDEX('Ref_Crosswalk'!$E$2:$E$500,MATCH($A160,'Ref_Crosswalk'!$A$2:$A$500,0)),""))</f>
        <v/>
      </c>
      <c r="X160" s="25">
        <f>IF($A160="","",IFERROR(INDEX('Ref_Crosswalk'!$C$2:$C$500,MATCH($A160,'Ref_Crosswalk'!$A$2:$A$500,0)),""))</f>
        <v/>
      </c>
      <c r="Y160" s="25">
        <f>IF($A160="",0,IF(AND(OR('Out_Dashboard'!$C$5="",$W160='Out_Dashboard'!$C$5),OR('Out_Dashboard'!$C$6="",$X160='Out_Dashboard'!$C$6),OR('Out_Dashboard'!$C$7="",$B160='Out_Dashboard'!$C$7)),1,0))</f>
        <v/>
      </c>
      <c r="Z160" s="25">
        <f>IF(AND($A160&lt;&gt;"",$S160&lt;&gt;"",$Y160=1),SUMPRODUCT(($A$8:$A160&lt;&gt;"")*($S$8:$S160&lt;&gt;"")*($Y$8:$Y160=1)),"")</f>
        <v/>
      </c>
      <c r="AA160" s="25">
        <f>IF(AND($A160&lt;&gt;"",$T160&lt;&gt;"",$Y160=1),SUMPRODUCT(($A$8:$A160&lt;&gt;"")*($T$8:$T160&lt;&gt;"")*($Y$8:$Y160=1)),"")</f>
        <v/>
      </c>
    </row>
    <row r="161">
      <c r="A161" s="13" t="n"/>
      <c r="B161" s="13" t="n"/>
      <c r="C161" s="26" t="n"/>
      <c r="D161" s="26" t="n"/>
      <c r="E161" s="26" t="n"/>
      <c r="F161" s="13" t="n"/>
      <c r="G161" s="13" t="n"/>
      <c r="H161" s="13" t="n"/>
      <c r="I161" s="13" t="n"/>
      <c r="J161" s="23">
        <f>IF($A161="","",IFERROR(INDEX('Ref_Crosswalk'!$F$2:$F$500,MATCH($A161,'Ref_Crosswalk'!$A$2:$A$500,0)),"UNKNOWN"))</f>
        <v/>
      </c>
      <c r="K161" s="24">
        <f>IF($A161="","",IFERROR(INDEX('Ref_Tolerance'!$B$2:$B$9,MATCH($J161,'Ref_Tolerance'!$A$2:$A$9,0)),""))</f>
        <v/>
      </c>
      <c r="L161" s="23">
        <f>IF($A161="","",IFERROR(INDEX('Ref_Tolerance'!$D$2:$D$9,MATCH($J161,'Ref_Tolerance'!$A$2:$A$9,0)),""))</f>
        <v/>
      </c>
      <c r="M161" s="24">
        <f>IF($A161="","",IFERROR(ABS(N($D161))/N($C161),0))</f>
        <v/>
      </c>
      <c r="N161" s="24">
        <f>IF($A161="","",IFERROR(N($E161)/N($C161),0))</f>
        <v/>
      </c>
      <c r="O161" s="23">
        <f>IF($A161="",0,IFERROR(SUMPRODUCT(($A$8:$A$307=$A161)*($P$8:$P$307="FAIL")*($U$8:$U$307&gt;$V161)*($U$8:$U$307&lt;=$U161)),0))</f>
        <v/>
      </c>
      <c r="P161" s="23">
        <f>IF($A161="","",IFERROR(IF(NOT(ISNUMBER($K161)),"CHECK",IF($L161="MARGIN",IF($N161&lt;=$K161,"PASS","FAIL"),IF($M161&lt;=$K161,"PASS","FAIL"))),"CHECK"))</f>
        <v/>
      </c>
      <c r="Q161" s="23">
        <f>IF($A161="","",IFERROR(INDEX('Ref_Tolerance'!$E$2:$E$9,MATCH($J161,'Ref_Tolerance'!$A$2:$A$9,0)),""))</f>
        <v/>
      </c>
      <c r="R161" s="23">
        <f>IF($A161="","",IFERROR(IF($O161=0,"CLEAR",IF($O161=1,"MFR DUE - MANAGER",IF($O161=2,"MFR DUE - FSS/CC SIGNATURE REQUIRED","INVESTIGATION + REPORT OF SURVEY; MSG/CC NOTIFIED"))),""))</f>
        <v/>
      </c>
      <c r="S161" s="23">
        <f>IF($A161="","",IF($O161=2,"WATCH - ONE MORE MISS TRIGGERS INVESTIGATION",""))</f>
        <v/>
      </c>
      <c r="T161" s="23">
        <f>IF($A161="","",IFERROR(IF(AND($O161&gt;=1,$F161&lt;&gt;"Y"),"MFR NOT SUBMITTED",IF(AND($O161&gt;=2,$G161&lt;&gt;"Y"),"FSS/CC SIGNATURE MISSING",IF(AND($O161&gt;=3,$H161&lt;&gt;"Y"),"INVESTIGATION NOT OPENED",""))),""))</f>
        <v/>
      </c>
      <c r="U161" s="25">
        <f>IF($A161="",0,IFERROR(MATCH($B161,'Ref_Calendar'!$A$2:$A$500,0),0))</f>
        <v/>
      </c>
      <c r="V161" s="25">
        <f>IF($A161="",0,IFERROR(SUMPRODUCT(MAX(($A$8:$A$307=$A161)*($P$8:$P$307="PASS")*($U$8:$U$307&lt;=$U161)*$U$8:$U$307)),0))</f>
        <v/>
      </c>
      <c r="W161" s="25">
        <f>IF($A161="","",IFERROR(INDEX('Ref_Crosswalk'!$E$2:$E$500,MATCH($A161,'Ref_Crosswalk'!$A$2:$A$500,0)),""))</f>
        <v/>
      </c>
      <c r="X161" s="25">
        <f>IF($A161="","",IFERROR(INDEX('Ref_Crosswalk'!$C$2:$C$500,MATCH($A161,'Ref_Crosswalk'!$A$2:$A$500,0)),""))</f>
        <v/>
      </c>
      <c r="Y161" s="25">
        <f>IF($A161="",0,IF(AND(OR('Out_Dashboard'!$C$5="",$W161='Out_Dashboard'!$C$5),OR('Out_Dashboard'!$C$6="",$X161='Out_Dashboard'!$C$6),OR('Out_Dashboard'!$C$7="",$B161='Out_Dashboard'!$C$7)),1,0))</f>
        <v/>
      </c>
      <c r="Z161" s="25">
        <f>IF(AND($A161&lt;&gt;"",$S161&lt;&gt;"",$Y161=1),SUMPRODUCT(($A$8:$A161&lt;&gt;"")*($S$8:$S161&lt;&gt;"")*($Y$8:$Y161=1)),"")</f>
        <v/>
      </c>
      <c r="AA161" s="25">
        <f>IF(AND($A161&lt;&gt;"",$T161&lt;&gt;"",$Y161=1),SUMPRODUCT(($A$8:$A161&lt;&gt;"")*($T$8:$T161&lt;&gt;"")*($Y$8:$Y161=1)),"")</f>
        <v/>
      </c>
    </row>
    <row r="162">
      <c r="A162" s="13" t="n"/>
      <c r="B162" s="13" t="n"/>
      <c r="C162" s="26" t="n"/>
      <c r="D162" s="26" t="n"/>
      <c r="E162" s="26" t="n"/>
      <c r="F162" s="13" t="n"/>
      <c r="G162" s="13" t="n"/>
      <c r="H162" s="13" t="n"/>
      <c r="I162" s="13" t="n"/>
      <c r="J162" s="23">
        <f>IF($A162="","",IFERROR(INDEX('Ref_Crosswalk'!$F$2:$F$500,MATCH($A162,'Ref_Crosswalk'!$A$2:$A$500,0)),"UNKNOWN"))</f>
        <v/>
      </c>
      <c r="K162" s="24">
        <f>IF($A162="","",IFERROR(INDEX('Ref_Tolerance'!$B$2:$B$9,MATCH($J162,'Ref_Tolerance'!$A$2:$A$9,0)),""))</f>
        <v/>
      </c>
      <c r="L162" s="23">
        <f>IF($A162="","",IFERROR(INDEX('Ref_Tolerance'!$D$2:$D$9,MATCH($J162,'Ref_Tolerance'!$A$2:$A$9,0)),""))</f>
        <v/>
      </c>
      <c r="M162" s="24">
        <f>IF($A162="","",IFERROR(ABS(N($D162))/N($C162),0))</f>
        <v/>
      </c>
      <c r="N162" s="24">
        <f>IF($A162="","",IFERROR(N($E162)/N($C162),0))</f>
        <v/>
      </c>
      <c r="O162" s="23">
        <f>IF($A162="",0,IFERROR(SUMPRODUCT(($A$8:$A$307=$A162)*($P$8:$P$307="FAIL")*($U$8:$U$307&gt;$V162)*($U$8:$U$307&lt;=$U162)),0))</f>
        <v/>
      </c>
      <c r="P162" s="23">
        <f>IF($A162="","",IFERROR(IF(NOT(ISNUMBER($K162)),"CHECK",IF($L162="MARGIN",IF($N162&lt;=$K162,"PASS","FAIL"),IF($M162&lt;=$K162,"PASS","FAIL"))),"CHECK"))</f>
        <v/>
      </c>
      <c r="Q162" s="23">
        <f>IF($A162="","",IFERROR(INDEX('Ref_Tolerance'!$E$2:$E$9,MATCH($J162,'Ref_Tolerance'!$A$2:$A$9,0)),""))</f>
        <v/>
      </c>
      <c r="R162" s="23">
        <f>IF($A162="","",IFERROR(IF($O162=0,"CLEAR",IF($O162=1,"MFR DUE - MANAGER",IF($O162=2,"MFR DUE - FSS/CC SIGNATURE REQUIRED","INVESTIGATION + REPORT OF SURVEY; MSG/CC NOTIFIED"))),""))</f>
        <v/>
      </c>
      <c r="S162" s="23">
        <f>IF($A162="","",IF($O162=2,"WATCH - ONE MORE MISS TRIGGERS INVESTIGATION",""))</f>
        <v/>
      </c>
      <c r="T162" s="23">
        <f>IF($A162="","",IFERROR(IF(AND($O162&gt;=1,$F162&lt;&gt;"Y"),"MFR NOT SUBMITTED",IF(AND($O162&gt;=2,$G162&lt;&gt;"Y"),"FSS/CC SIGNATURE MISSING",IF(AND($O162&gt;=3,$H162&lt;&gt;"Y"),"INVESTIGATION NOT OPENED",""))),""))</f>
        <v/>
      </c>
      <c r="U162" s="25">
        <f>IF($A162="",0,IFERROR(MATCH($B162,'Ref_Calendar'!$A$2:$A$500,0),0))</f>
        <v/>
      </c>
      <c r="V162" s="25">
        <f>IF($A162="",0,IFERROR(SUMPRODUCT(MAX(($A$8:$A$307=$A162)*($P$8:$P$307="PASS")*($U$8:$U$307&lt;=$U162)*$U$8:$U$307)),0))</f>
        <v/>
      </c>
      <c r="W162" s="25">
        <f>IF($A162="","",IFERROR(INDEX('Ref_Crosswalk'!$E$2:$E$500,MATCH($A162,'Ref_Crosswalk'!$A$2:$A$500,0)),""))</f>
        <v/>
      </c>
      <c r="X162" s="25">
        <f>IF($A162="","",IFERROR(INDEX('Ref_Crosswalk'!$C$2:$C$500,MATCH($A162,'Ref_Crosswalk'!$A$2:$A$500,0)),""))</f>
        <v/>
      </c>
      <c r="Y162" s="25">
        <f>IF($A162="",0,IF(AND(OR('Out_Dashboard'!$C$5="",$W162='Out_Dashboard'!$C$5),OR('Out_Dashboard'!$C$6="",$X162='Out_Dashboard'!$C$6),OR('Out_Dashboard'!$C$7="",$B162='Out_Dashboard'!$C$7)),1,0))</f>
        <v/>
      </c>
      <c r="Z162" s="25">
        <f>IF(AND($A162&lt;&gt;"",$S162&lt;&gt;"",$Y162=1),SUMPRODUCT(($A$8:$A162&lt;&gt;"")*($S$8:$S162&lt;&gt;"")*($Y$8:$Y162=1)),"")</f>
        <v/>
      </c>
      <c r="AA162" s="25">
        <f>IF(AND($A162&lt;&gt;"",$T162&lt;&gt;"",$Y162=1),SUMPRODUCT(($A$8:$A162&lt;&gt;"")*($T$8:$T162&lt;&gt;"")*($Y$8:$Y162=1)),"")</f>
        <v/>
      </c>
    </row>
    <row r="163">
      <c r="A163" s="13" t="n"/>
      <c r="B163" s="13" t="n"/>
      <c r="C163" s="26" t="n"/>
      <c r="D163" s="26" t="n"/>
      <c r="E163" s="26" t="n"/>
      <c r="F163" s="13" t="n"/>
      <c r="G163" s="13" t="n"/>
      <c r="H163" s="13" t="n"/>
      <c r="I163" s="13" t="n"/>
      <c r="J163" s="23">
        <f>IF($A163="","",IFERROR(INDEX('Ref_Crosswalk'!$F$2:$F$500,MATCH($A163,'Ref_Crosswalk'!$A$2:$A$500,0)),"UNKNOWN"))</f>
        <v/>
      </c>
      <c r="K163" s="24">
        <f>IF($A163="","",IFERROR(INDEX('Ref_Tolerance'!$B$2:$B$9,MATCH($J163,'Ref_Tolerance'!$A$2:$A$9,0)),""))</f>
        <v/>
      </c>
      <c r="L163" s="23">
        <f>IF($A163="","",IFERROR(INDEX('Ref_Tolerance'!$D$2:$D$9,MATCH($J163,'Ref_Tolerance'!$A$2:$A$9,0)),""))</f>
        <v/>
      </c>
      <c r="M163" s="24">
        <f>IF($A163="","",IFERROR(ABS(N($D163))/N($C163),0))</f>
        <v/>
      </c>
      <c r="N163" s="24">
        <f>IF($A163="","",IFERROR(N($E163)/N($C163),0))</f>
        <v/>
      </c>
      <c r="O163" s="23">
        <f>IF($A163="",0,IFERROR(SUMPRODUCT(($A$8:$A$307=$A163)*($P$8:$P$307="FAIL")*($U$8:$U$307&gt;$V163)*($U$8:$U$307&lt;=$U163)),0))</f>
        <v/>
      </c>
      <c r="P163" s="23">
        <f>IF($A163="","",IFERROR(IF(NOT(ISNUMBER($K163)),"CHECK",IF($L163="MARGIN",IF($N163&lt;=$K163,"PASS","FAIL"),IF($M163&lt;=$K163,"PASS","FAIL"))),"CHECK"))</f>
        <v/>
      </c>
      <c r="Q163" s="23">
        <f>IF($A163="","",IFERROR(INDEX('Ref_Tolerance'!$E$2:$E$9,MATCH($J163,'Ref_Tolerance'!$A$2:$A$9,0)),""))</f>
        <v/>
      </c>
      <c r="R163" s="23">
        <f>IF($A163="","",IFERROR(IF($O163=0,"CLEAR",IF($O163=1,"MFR DUE - MANAGER",IF($O163=2,"MFR DUE - FSS/CC SIGNATURE REQUIRED","INVESTIGATION + REPORT OF SURVEY; MSG/CC NOTIFIED"))),""))</f>
        <v/>
      </c>
      <c r="S163" s="23">
        <f>IF($A163="","",IF($O163=2,"WATCH - ONE MORE MISS TRIGGERS INVESTIGATION",""))</f>
        <v/>
      </c>
      <c r="T163" s="23">
        <f>IF($A163="","",IFERROR(IF(AND($O163&gt;=1,$F163&lt;&gt;"Y"),"MFR NOT SUBMITTED",IF(AND($O163&gt;=2,$G163&lt;&gt;"Y"),"FSS/CC SIGNATURE MISSING",IF(AND($O163&gt;=3,$H163&lt;&gt;"Y"),"INVESTIGATION NOT OPENED",""))),""))</f>
        <v/>
      </c>
      <c r="U163" s="25">
        <f>IF($A163="",0,IFERROR(MATCH($B163,'Ref_Calendar'!$A$2:$A$500,0),0))</f>
        <v/>
      </c>
      <c r="V163" s="25">
        <f>IF($A163="",0,IFERROR(SUMPRODUCT(MAX(($A$8:$A$307=$A163)*($P$8:$P$307="PASS")*($U$8:$U$307&lt;=$U163)*$U$8:$U$307)),0))</f>
        <v/>
      </c>
      <c r="W163" s="25">
        <f>IF($A163="","",IFERROR(INDEX('Ref_Crosswalk'!$E$2:$E$500,MATCH($A163,'Ref_Crosswalk'!$A$2:$A$500,0)),""))</f>
        <v/>
      </c>
      <c r="X163" s="25">
        <f>IF($A163="","",IFERROR(INDEX('Ref_Crosswalk'!$C$2:$C$500,MATCH($A163,'Ref_Crosswalk'!$A$2:$A$500,0)),""))</f>
        <v/>
      </c>
      <c r="Y163" s="25">
        <f>IF($A163="",0,IF(AND(OR('Out_Dashboard'!$C$5="",$W163='Out_Dashboard'!$C$5),OR('Out_Dashboard'!$C$6="",$X163='Out_Dashboard'!$C$6),OR('Out_Dashboard'!$C$7="",$B163='Out_Dashboard'!$C$7)),1,0))</f>
        <v/>
      </c>
      <c r="Z163" s="25">
        <f>IF(AND($A163&lt;&gt;"",$S163&lt;&gt;"",$Y163=1),SUMPRODUCT(($A$8:$A163&lt;&gt;"")*($S$8:$S163&lt;&gt;"")*($Y$8:$Y163=1)),"")</f>
        <v/>
      </c>
      <c r="AA163" s="25">
        <f>IF(AND($A163&lt;&gt;"",$T163&lt;&gt;"",$Y163=1),SUMPRODUCT(($A$8:$A163&lt;&gt;"")*($T$8:$T163&lt;&gt;"")*($Y$8:$Y163=1)),"")</f>
        <v/>
      </c>
    </row>
    <row r="164">
      <c r="A164" s="13" t="n"/>
      <c r="B164" s="13" t="n"/>
      <c r="C164" s="26" t="n"/>
      <c r="D164" s="26" t="n"/>
      <c r="E164" s="26" t="n"/>
      <c r="F164" s="13" t="n"/>
      <c r="G164" s="13" t="n"/>
      <c r="H164" s="13" t="n"/>
      <c r="I164" s="13" t="n"/>
      <c r="J164" s="23">
        <f>IF($A164="","",IFERROR(INDEX('Ref_Crosswalk'!$F$2:$F$500,MATCH($A164,'Ref_Crosswalk'!$A$2:$A$500,0)),"UNKNOWN"))</f>
        <v/>
      </c>
      <c r="K164" s="24">
        <f>IF($A164="","",IFERROR(INDEX('Ref_Tolerance'!$B$2:$B$9,MATCH($J164,'Ref_Tolerance'!$A$2:$A$9,0)),""))</f>
        <v/>
      </c>
      <c r="L164" s="23">
        <f>IF($A164="","",IFERROR(INDEX('Ref_Tolerance'!$D$2:$D$9,MATCH($J164,'Ref_Tolerance'!$A$2:$A$9,0)),""))</f>
        <v/>
      </c>
      <c r="M164" s="24">
        <f>IF($A164="","",IFERROR(ABS(N($D164))/N($C164),0))</f>
        <v/>
      </c>
      <c r="N164" s="24">
        <f>IF($A164="","",IFERROR(N($E164)/N($C164),0))</f>
        <v/>
      </c>
      <c r="O164" s="23">
        <f>IF($A164="",0,IFERROR(SUMPRODUCT(($A$8:$A$307=$A164)*($P$8:$P$307="FAIL")*($U$8:$U$307&gt;$V164)*($U$8:$U$307&lt;=$U164)),0))</f>
        <v/>
      </c>
      <c r="P164" s="23">
        <f>IF($A164="","",IFERROR(IF(NOT(ISNUMBER($K164)),"CHECK",IF($L164="MARGIN",IF($N164&lt;=$K164,"PASS","FAIL"),IF($M164&lt;=$K164,"PASS","FAIL"))),"CHECK"))</f>
        <v/>
      </c>
      <c r="Q164" s="23">
        <f>IF($A164="","",IFERROR(INDEX('Ref_Tolerance'!$E$2:$E$9,MATCH($J164,'Ref_Tolerance'!$A$2:$A$9,0)),""))</f>
        <v/>
      </c>
      <c r="R164" s="23">
        <f>IF($A164="","",IFERROR(IF($O164=0,"CLEAR",IF($O164=1,"MFR DUE - MANAGER",IF($O164=2,"MFR DUE - FSS/CC SIGNATURE REQUIRED","INVESTIGATION + REPORT OF SURVEY; MSG/CC NOTIFIED"))),""))</f>
        <v/>
      </c>
      <c r="S164" s="23">
        <f>IF($A164="","",IF($O164=2,"WATCH - ONE MORE MISS TRIGGERS INVESTIGATION",""))</f>
        <v/>
      </c>
      <c r="T164" s="23">
        <f>IF($A164="","",IFERROR(IF(AND($O164&gt;=1,$F164&lt;&gt;"Y"),"MFR NOT SUBMITTED",IF(AND($O164&gt;=2,$G164&lt;&gt;"Y"),"FSS/CC SIGNATURE MISSING",IF(AND($O164&gt;=3,$H164&lt;&gt;"Y"),"INVESTIGATION NOT OPENED",""))),""))</f>
        <v/>
      </c>
      <c r="U164" s="25">
        <f>IF($A164="",0,IFERROR(MATCH($B164,'Ref_Calendar'!$A$2:$A$500,0),0))</f>
        <v/>
      </c>
      <c r="V164" s="25">
        <f>IF($A164="",0,IFERROR(SUMPRODUCT(MAX(($A$8:$A$307=$A164)*($P$8:$P$307="PASS")*($U$8:$U$307&lt;=$U164)*$U$8:$U$307)),0))</f>
        <v/>
      </c>
      <c r="W164" s="25">
        <f>IF($A164="","",IFERROR(INDEX('Ref_Crosswalk'!$E$2:$E$500,MATCH($A164,'Ref_Crosswalk'!$A$2:$A$500,0)),""))</f>
        <v/>
      </c>
      <c r="X164" s="25">
        <f>IF($A164="","",IFERROR(INDEX('Ref_Crosswalk'!$C$2:$C$500,MATCH($A164,'Ref_Crosswalk'!$A$2:$A$500,0)),""))</f>
        <v/>
      </c>
      <c r="Y164" s="25">
        <f>IF($A164="",0,IF(AND(OR('Out_Dashboard'!$C$5="",$W164='Out_Dashboard'!$C$5),OR('Out_Dashboard'!$C$6="",$X164='Out_Dashboard'!$C$6),OR('Out_Dashboard'!$C$7="",$B164='Out_Dashboard'!$C$7)),1,0))</f>
        <v/>
      </c>
      <c r="Z164" s="25">
        <f>IF(AND($A164&lt;&gt;"",$S164&lt;&gt;"",$Y164=1),SUMPRODUCT(($A$8:$A164&lt;&gt;"")*($S$8:$S164&lt;&gt;"")*($Y$8:$Y164=1)),"")</f>
        <v/>
      </c>
      <c r="AA164" s="25">
        <f>IF(AND($A164&lt;&gt;"",$T164&lt;&gt;"",$Y164=1),SUMPRODUCT(($A$8:$A164&lt;&gt;"")*($T$8:$T164&lt;&gt;"")*($Y$8:$Y164=1)),"")</f>
        <v/>
      </c>
    </row>
    <row r="165">
      <c r="A165" s="13" t="n"/>
      <c r="B165" s="13" t="n"/>
      <c r="C165" s="26" t="n"/>
      <c r="D165" s="26" t="n"/>
      <c r="E165" s="26" t="n"/>
      <c r="F165" s="13" t="n"/>
      <c r="G165" s="13" t="n"/>
      <c r="H165" s="13" t="n"/>
      <c r="I165" s="13" t="n"/>
      <c r="J165" s="23">
        <f>IF($A165="","",IFERROR(INDEX('Ref_Crosswalk'!$F$2:$F$500,MATCH($A165,'Ref_Crosswalk'!$A$2:$A$500,0)),"UNKNOWN"))</f>
        <v/>
      </c>
      <c r="K165" s="24">
        <f>IF($A165="","",IFERROR(INDEX('Ref_Tolerance'!$B$2:$B$9,MATCH($J165,'Ref_Tolerance'!$A$2:$A$9,0)),""))</f>
        <v/>
      </c>
      <c r="L165" s="23">
        <f>IF($A165="","",IFERROR(INDEX('Ref_Tolerance'!$D$2:$D$9,MATCH($J165,'Ref_Tolerance'!$A$2:$A$9,0)),""))</f>
        <v/>
      </c>
      <c r="M165" s="24">
        <f>IF($A165="","",IFERROR(ABS(N($D165))/N($C165),0))</f>
        <v/>
      </c>
      <c r="N165" s="24">
        <f>IF($A165="","",IFERROR(N($E165)/N($C165),0))</f>
        <v/>
      </c>
      <c r="O165" s="23">
        <f>IF($A165="",0,IFERROR(SUMPRODUCT(($A$8:$A$307=$A165)*($P$8:$P$307="FAIL")*($U$8:$U$307&gt;$V165)*($U$8:$U$307&lt;=$U165)),0))</f>
        <v/>
      </c>
      <c r="P165" s="23">
        <f>IF($A165="","",IFERROR(IF(NOT(ISNUMBER($K165)),"CHECK",IF($L165="MARGIN",IF($N165&lt;=$K165,"PASS","FAIL"),IF($M165&lt;=$K165,"PASS","FAIL"))),"CHECK"))</f>
        <v/>
      </c>
      <c r="Q165" s="23">
        <f>IF($A165="","",IFERROR(INDEX('Ref_Tolerance'!$E$2:$E$9,MATCH($J165,'Ref_Tolerance'!$A$2:$A$9,0)),""))</f>
        <v/>
      </c>
      <c r="R165" s="23">
        <f>IF($A165="","",IFERROR(IF($O165=0,"CLEAR",IF($O165=1,"MFR DUE - MANAGER",IF($O165=2,"MFR DUE - FSS/CC SIGNATURE REQUIRED","INVESTIGATION + REPORT OF SURVEY; MSG/CC NOTIFIED"))),""))</f>
        <v/>
      </c>
      <c r="S165" s="23">
        <f>IF($A165="","",IF($O165=2,"WATCH - ONE MORE MISS TRIGGERS INVESTIGATION",""))</f>
        <v/>
      </c>
      <c r="T165" s="23">
        <f>IF($A165="","",IFERROR(IF(AND($O165&gt;=1,$F165&lt;&gt;"Y"),"MFR NOT SUBMITTED",IF(AND($O165&gt;=2,$G165&lt;&gt;"Y"),"FSS/CC SIGNATURE MISSING",IF(AND($O165&gt;=3,$H165&lt;&gt;"Y"),"INVESTIGATION NOT OPENED",""))),""))</f>
        <v/>
      </c>
      <c r="U165" s="25">
        <f>IF($A165="",0,IFERROR(MATCH($B165,'Ref_Calendar'!$A$2:$A$500,0),0))</f>
        <v/>
      </c>
      <c r="V165" s="25">
        <f>IF($A165="",0,IFERROR(SUMPRODUCT(MAX(($A$8:$A$307=$A165)*($P$8:$P$307="PASS")*($U$8:$U$307&lt;=$U165)*$U$8:$U$307)),0))</f>
        <v/>
      </c>
      <c r="W165" s="25">
        <f>IF($A165="","",IFERROR(INDEX('Ref_Crosswalk'!$E$2:$E$500,MATCH($A165,'Ref_Crosswalk'!$A$2:$A$500,0)),""))</f>
        <v/>
      </c>
      <c r="X165" s="25">
        <f>IF($A165="","",IFERROR(INDEX('Ref_Crosswalk'!$C$2:$C$500,MATCH($A165,'Ref_Crosswalk'!$A$2:$A$500,0)),""))</f>
        <v/>
      </c>
      <c r="Y165" s="25">
        <f>IF($A165="",0,IF(AND(OR('Out_Dashboard'!$C$5="",$W165='Out_Dashboard'!$C$5),OR('Out_Dashboard'!$C$6="",$X165='Out_Dashboard'!$C$6),OR('Out_Dashboard'!$C$7="",$B165='Out_Dashboard'!$C$7)),1,0))</f>
        <v/>
      </c>
      <c r="Z165" s="25">
        <f>IF(AND($A165&lt;&gt;"",$S165&lt;&gt;"",$Y165=1),SUMPRODUCT(($A$8:$A165&lt;&gt;"")*($S$8:$S165&lt;&gt;"")*($Y$8:$Y165=1)),"")</f>
        <v/>
      </c>
      <c r="AA165" s="25">
        <f>IF(AND($A165&lt;&gt;"",$T165&lt;&gt;"",$Y165=1),SUMPRODUCT(($A$8:$A165&lt;&gt;"")*($T$8:$T165&lt;&gt;"")*($Y$8:$Y165=1)),"")</f>
        <v/>
      </c>
    </row>
    <row r="166">
      <c r="A166" s="13" t="n"/>
      <c r="B166" s="13" t="n"/>
      <c r="C166" s="26" t="n"/>
      <c r="D166" s="26" t="n"/>
      <c r="E166" s="26" t="n"/>
      <c r="F166" s="13" t="n"/>
      <c r="G166" s="13" t="n"/>
      <c r="H166" s="13" t="n"/>
      <c r="I166" s="13" t="n"/>
      <c r="J166" s="23">
        <f>IF($A166="","",IFERROR(INDEX('Ref_Crosswalk'!$F$2:$F$500,MATCH($A166,'Ref_Crosswalk'!$A$2:$A$500,0)),"UNKNOWN"))</f>
        <v/>
      </c>
      <c r="K166" s="24">
        <f>IF($A166="","",IFERROR(INDEX('Ref_Tolerance'!$B$2:$B$9,MATCH($J166,'Ref_Tolerance'!$A$2:$A$9,0)),""))</f>
        <v/>
      </c>
      <c r="L166" s="23">
        <f>IF($A166="","",IFERROR(INDEX('Ref_Tolerance'!$D$2:$D$9,MATCH($J166,'Ref_Tolerance'!$A$2:$A$9,0)),""))</f>
        <v/>
      </c>
      <c r="M166" s="24">
        <f>IF($A166="","",IFERROR(ABS(N($D166))/N($C166),0))</f>
        <v/>
      </c>
      <c r="N166" s="24">
        <f>IF($A166="","",IFERROR(N($E166)/N($C166),0))</f>
        <v/>
      </c>
      <c r="O166" s="23">
        <f>IF($A166="",0,IFERROR(SUMPRODUCT(($A$8:$A$307=$A166)*($P$8:$P$307="FAIL")*($U$8:$U$307&gt;$V166)*($U$8:$U$307&lt;=$U166)),0))</f>
        <v/>
      </c>
      <c r="P166" s="23">
        <f>IF($A166="","",IFERROR(IF(NOT(ISNUMBER($K166)),"CHECK",IF($L166="MARGIN",IF($N166&lt;=$K166,"PASS","FAIL"),IF($M166&lt;=$K166,"PASS","FAIL"))),"CHECK"))</f>
        <v/>
      </c>
      <c r="Q166" s="23">
        <f>IF($A166="","",IFERROR(INDEX('Ref_Tolerance'!$E$2:$E$9,MATCH($J166,'Ref_Tolerance'!$A$2:$A$9,0)),""))</f>
        <v/>
      </c>
      <c r="R166" s="23">
        <f>IF($A166="","",IFERROR(IF($O166=0,"CLEAR",IF($O166=1,"MFR DUE - MANAGER",IF($O166=2,"MFR DUE - FSS/CC SIGNATURE REQUIRED","INVESTIGATION + REPORT OF SURVEY; MSG/CC NOTIFIED"))),""))</f>
        <v/>
      </c>
      <c r="S166" s="23">
        <f>IF($A166="","",IF($O166=2,"WATCH - ONE MORE MISS TRIGGERS INVESTIGATION",""))</f>
        <v/>
      </c>
      <c r="T166" s="23">
        <f>IF($A166="","",IFERROR(IF(AND($O166&gt;=1,$F166&lt;&gt;"Y"),"MFR NOT SUBMITTED",IF(AND($O166&gt;=2,$G166&lt;&gt;"Y"),"FSS/CC SIGNATURE MISSING",IF(AND($O166&gt;=3,$H166&lt;&gt;"Y"),"INVESTIGATION NOT OPENED",""))),""))</f>
        <v/>
      </c>
      <c r="U166" s="25">
        <f>IF($A166="",0,IFERROR(MATCH($B166,'Ref_Calendar'!$A$2:$A$500,0),0))</f>
        <v/>
      </c>
      <c r="V166" s="25">
        <f>IF($A166="",0,IFERROR(SUMPRODUCT(MAX(($A$8:$A$307=$A166)*($P$8:$P$307="PASS")*($U$8:$U$307&lt;=$U166)*$U$8:$U$307)),0))</f>
        <v/>
      </c>
      <c r="W166" s="25">
        <f>IF($A166="","",IFERROR(INDEX('Ref_Crosswalk'!$E$2:$E$500,MATCH($A166,'Ref_Crosswalk'!$A$2:$A$500,0)),""))</f>
        <v/>
      </c>
      <c r="X166" s="25">
        <f>IF($A166="","",IFERROR(INDEX('Ref_Crosswalk'!$C$2:$C$500,MATCH($A166,'Ref_Crosswalk'!$A$2:$A$500,0)),""))</f>
        <v/>
      </c>
      <c r="Y166" s="25">
        <f>IF($A166="",0,IF(AND(OR('Out_Dashboard'!$C$5="",$W166='Out_Dashboard'!$C$5),OR('Out_Dashboard'!$C$6="",$X166='Out_Dashboard'!$C$6),OR('Out_Dashboard'!$C$7="",$B166='Out_Dashboard'!$C$7)),1,0))</f>
        <v/>
      </c>
      <c r="Z166" s="25">
        <f>IF(AND($A166&lt;&gt;"",$S166&lt;&gt;"",$Y166=1),SUMPRODUCT(($A$8:$A166&lt;&gt;"")*($S$8:$S166&lt;&gt;"")*($Y$8:$Y166=1)),"")</f>
        <v/>
      </c>
      <c r="AA166" s="25">
        <f>IF(AND($A166&lt;&gt;"",$T166&lt;&gt;"",$Y166=1),SUMPRODUCT(($A$8:$A166&lt;&gt;"")*($T$8:$T166&lt;&gt;"")*($Y$8:$Y166=1)),"")</f>
        <v/>
      </c>
    </row>
    <row r="167">
      <c r="A167" s="13" t="n"/>
      <c r="B167" s="13" t="n"/>
      <c r="C167" s="26" t="n"/>
      <c r="D167" s="26" t="n"/>
      <c r="E167" s="26" t="n"/>
      <c r="F167" s="13" t="n"/>
      <c r="G167" s="13" t="n"/>
      <c r="H167" s="13" t="n"/>
      <c r="I167" s="13" t="n"/>
      <c r="J167" s="23">
        <f>IF($A167="","",IFERROR(INDEX('Ref_Crosswalk'!$F$2:$F$500,MATCH($A167,'Ref_Crosswalk'!$A$2:$A$500,0)),"UNKNOWN"))</f>
        <v/>
      </c>
      <c r="K167" s="24">
        <f>IF($A167="","",IFERROR(INDEX('Ref_Tolerance'!$B$2:$B$9,MATCH($J167,'Ref_Tolerance'!$A$2:$A$9,0)),""))</f>
        <v/>
      </c>
      <c r="L167" s="23">
        <f>IF($A167="","",IFERROR(INDEX('Ref_Tolerance'!$D$2:$D$9,MATCH($J167,'Ref_Tolerance'!$A$2:$A$9,0)),""))</f>
        <v/>
      </c>
      <c r="M167" s="24">
        <f>IF($A167="","",IFERROR(ABS(N($D167))/N($C167),0))</f>
        <v/>
      </c>
      <c r="N167" s="24">
        <f>IF($A167="","",IFERROR(N($E167)/N($C167),0))</f>
        <v/>
      </c>
      <c r="O167" s="23">
        <f>IF($A167="",0,IFERROR(SUMPRODUCT(($A$8:$A$307=$A167)*($P$8:$P$307="FAIL")*($U$8:$U$307&gt;$V167)*($U$8:$U$307&lt;=$U167)),0))</f>
        <v/>
      </c>
      <c r="P167" s="23">
        <f>IF($A167="","",IFERROR(IF(NOT(ISNUMBER($K167)),"CHECK",IF($L167="MARGIN",IF($N167&lt;=$K167,"PASS","FAIL"),IF($M167&lt;=$K167,"PASS","FAIL"))),"CHECK"))</f>
        <v/>
      </c>
      <c r="Q167" s="23">
        <f>IF($A167="","",IFERROR(INDEX('Ref_Tolerance'!$E$2:$E$9,MATCH($J167,'Ref_Tolerance'!$A$2:$A$9,0)),""))</f>
        <v/>
      </c>
      <c r="R167" s="23">
        <f>IF($A167="","",IFERROR(IF($O167=0,"CLEAR",IF($O167=1,"MFR DUE - MANAGER",IF($O167=2,"MFR DUE - FSS/CC SIGNATURE REQUIRED","INVESTIGATION + REPORT OF SURVEY; MSG/CC NOTIFIED"))),""))</f>
        <v/>
      </c>
      <c r="S167" s="23">
        <f>IF($A167="","",IF($O167=2,"WATCH - ONE MORE MISS TRIGGERS INVESTIGATION",""))</f>
        <v/>
      </c>
      <c r="T167" s="23">
        <f>IF($A167="","",IFERROR(IF(AND($O167&gt;=1,$F167&lt;&gt;"Y"),"MFR NOT SUBMITTED",IF(AND($O167&gt;=2,$G167&lt;&gt;"Y"),"FSS/CC SIGNATURE MISSING",IF(AND($O167&gt;=3,$H167&lt;&gt;"Y"),"INVESTIGATION NOT OPENED",""))),""))</f>
        <v/>
      </c>
      <c r="U167" s="25">
        <f>IF($A167="",0,IFERROR(MATCH($B167,'Ref_Calendar'!$A$2:$A$500,0),0))</f>
        <v/>
      </c>
      <c r="V167" s="25">
        <f>IF($A167="",0,IFERROR(SUMPRODUCT(MAX(($A$8:$A$307=$A167)*($P$8:$P$307="PASS")*($U$8:$U$307&lt;=$U167)*$U$8:$U$307)),0))</f>
        <v/>
      </c>
      <c r="W167" s="25">
        <f>IF($A167="","",IFERROR(INDEX('Ref_Crosswalk'!$E$2:$E$500,MATCH($A167,'Ref_Crosswalk'!$A$2:$A$500,0)),""))</f>
        <v/>
      </c>
      <c r="X167" s="25">
        <f>IF($A167="","",IFERROR(INDEX('Ref_Crosswalk'!$C$2:$C$500,MATCH($A167,'Ref_Crosswalk'!$A$2:$A$500,0)),""))</f>
        <v/>
      </c>
      <c r="Y167" s="25">
        <f>IF($A167="",0,IF(AND(OR('Out_Dashboard'!$C$5="",$W167='Out_Dashboard'!$C$5),OR('Out_Dashboard'!$C$6="",$X167='Out_Dashboard'!$C$6),OR('Out_Dashboard'!$C$7="",$B167='Out_Dashboard'!$C$7)),1,0))</f>
        <v/>
      </c>
      <c r="Z167" s="25">
        <f>IF(AND($A167&lt;&gt;"",$S167&lt;&gt;"",$Y167=1),SUMPRODUCT(($A$8:$A167&lt;&gt;"")*($S$8:$S167&lt;&gt;"")*($Y$8:$Y167=1)),"")</f>
        <v/>
      </c>
      <c r="AA167" s="25">
        <f>IF(AND($A167&lt;&gt;"",$T167&lt;&gt;"",$Y167=1),SUMPRODUCT(($A$8:$A167&lt;&gt;"")*($T$8:$T167&lt;&gt;"")*($Y$8:$Y167=1)),"")</f>
        <v/>
      </c>
    </row>
    <row r="168">
      <c r="A168" s="13" t="n"/>
      <c r="B168" s="13" t="n"/>
      <c r="C168" s="26" t="n"/>
      <c r="D168" s="26" t="n"/>
      <c r="E168" s="26" t="n"/>
      <c r="F168" s="13" t="n"/>
      <c r="G168" s="13" t="n"/>
      <c r="H168" s="13" t="n"/>
      <c r="I168" s="13" t="n"/>
      <c r="J168" s="23">
        <f>IF($A168="","",IFERROR(INDEX('Ref_Crosswalk'!$F$2:$F$500,MATCH($A168,'Ref_Crosswalk'!$A$2:$A$500,0)),"UNKNOWN"))</f>
        <v/>
      </c>
      <c r="K168" s="24">
        <f>IF($A168="","",IFERROR(INDEX('Ref_Tolerance'!$B$2:$B$9,MATCH($J168,'Ref_Tolerance'!$A$2:$A$9,0)),""))</f>
        <v/>
      </c>
      <c r="L168" s="23">
        <f>IF($A168="","",IFERROR(INDEX('Ref_Tolerance'!$D$2:$D$9,MATCH($J168,'Ref_Tolerance'!$A$2:$A$9,0)),""))</f>
        <v/>
      </c>
      <c r="M168" s="24">
        <f>IF($A168="","",IFERROR(ABS(N($D168))/N($C168),0))</f>
        <v/>
      </c>
      <c r="N168" s="24">
        <f>IF($A168="","",IFERROR(N($E168)/N($C168),0))</f>
        <v/>
      </c>
      <c r="O168" s="23">
        <f>IF($A168="",0,IFERROR(SUMPRODUCT(($A$8:$A$307=$A168)*($P$8:$P$307="FAIL")*($U$8:$U$307&gt;$V168)*($U$8:$U$307&lt;=$U168)),0))</f>
        <v/>
      </c>
      <c r="P168" s="23">
        <f>IF($A168="","",IFERROR(IF(NOT(ISNUMBER($K168)),"CHECK",IF($L168="MARGIN",IF($N168&lt;=$K168,"PASS","FAIL"),IF($M168&lt;=$K168,"PASS","FAIL"))),"CHECK"))</f>
        <v/>
      </c>
      <c r="Q168" s="23">
        <f>IF($A168="","",IFERROR(INDEX('Ref_Tolerance'!$E$2:$E$9,MATCH($J168,'Ref_Tolerance'!$A$2:$A$9,0)),""))</f>
        <v/>
      </c>
      <c r="R168" s="23">
        <f>IF($A168="","",IFERROR(IF($O168=0,"CLEAR",IF($O168=1,"MFR DUE - MANAGER",IF($O168=2,"MFR DUE - FSS/CC SIGNATURE REQUIRED","INVESTIGATION + REPORT OF SURVEY; MSG/CC NOTIFIED"))),""))</f>
        <v/>
      </c>
      <c r="S168" s="23">
        <f>IF($A168="","",IF($O168=2,"WATCH - ONE MORE MISS TRIGGERS INVESTIGATION",""))</f>
        <v/>
      </c>
      <c r="T168" s="23">
        <f>IF($A168="","",IFERROR(IF(AND($O168&gt;=1,$F168&lt;&gt;"Y"),"MFR NOT SUBMITTED",IF(AND($O168&gt;=2,$G168&lt;&gt;"Y"),"FSS/CC SIGNATURE MISSING",IF(AND($O168&gt;=3,$H168&lt;&gt;"Y"),"INVESTIGATION NOT OPENED",""))),""))</f>
        <v/>
      </c>
      <c r="U168" s="25">
        <f>IF($A168="",0,IFERROR(MATCH($B168,'Ref_Calendar'!$A$2:$A$500,0),0))</f>
        <v/>
      </c>
      <c r="V168" s="25">
        <f>IF($A168="",0,IFERROR(SUMPRODUCT(MAX(($A$8:$A$307=$A168)*($P$8:$P$307="PASS")*($U$8:$U$307&lt;=$U168)*$U$8:$U$307)),0))</f>
        <v/>
      </c>
      <c r="W168" s="25">
        <f>IF($A168="","",IFERROR(INDEX('Ref_Crosswalk'!$E$2:$E$500,MATCH($A168,'Ref_Crosswalk'!$A$2:$A$500,0)),""))</f>
        <v/>
      </c>
      <c r="X168" s="25">
        <f>IF($A168="","",IFERROR(INDEX('Ref_Crosswalk'!$C$2:$C$500,MATCH($A168,'Ref_Crosswalk'!$A$2:$A$500,0)),""))</f>
        <v/>
      </c>
      <c r="Y168" s="25">
        <f>IF($A168="",0,IF(AND(OR('Out_Dashboard'!$C$5="",$W168='Out_Dashboard'!$C$5),OR('Out_Dashboard'!$C$6="",$X168='Out_Dashboard'!$C$6),OR('Out_Dashboard'!$C$7="",$B168='Out_Dashboard'!$C$7)),1,0))</f>
        <v/>
      </c>
      <c r="Z168" s="25">
        <f>IF(AND($A168&lt;&gt;"",$S168&lt;&gt;"",$Y168=1),SUMPRODUCT(($A$8:$A168&lt;&gt;"")*($S$8:$S168&lt;&gt;"")*($Y$8:$Y168=1)),"")</f>
        <v/>
      </c>
      <c r="AA168" s="25">
        <f>IF(AND($A168&lt;&gt;"",$T168&lt;&gt;"",$Y168=1),SUMPRODUCT(($A$8:$A168&lt;&gt;"")*($T$8:$T168&lt;&gt;"")*($Y$8:$Y168=1)),"")</f>
        <v/>
      </c>
    </row>
    <row r="169">
      <c r="A169" s="13" t="n"/>
      <c r="B169" s="13" t="n"/>
      <c r="C169" s="26" t="n"/>
      <c r="D169" s="26" t="n"/>
      <c r="E169" s="26" t="n"/>
      <c r="F169" s="13" t="n"/>
      <c r="G169" s="13" t="n"/>
      <c r="H169" s="13" t="n"/>
      <c r="I169" s="13" t="n"/>
      <c r="J169" s="23">
        <f>IF($A169="","",IFERROR(INDEX('Ref_Crosswalk'!$F$2:$F$500,MATCH($A169,'Ref_Crosswalk'!$A$2:$A$500,0)),"UNKNOWN"))</f>
        <v/>
      </c>
      <c r="K169" s="24">
        <f>IF($A169="","",IFERROR(INDEX('Ref_Tolerance'!$B$2:$B$9,MATCH($J169,'Ref_Tolerance'!$A$2:$A$9,0)),""))</f>
        <v/>
      </c>
      <c r="L169" s="23">
        <f>IF($A169="","",IFERROR(INDEX('Ref_Tolerance'!$D$2:$D$9,MATCH($J169,'Ref_Tolerance'!$A$2:$A$9,0)),""))</f>
        <v/>
      </c>
      <c r="M169" s="24">
        <f>IF($A169="","",IFERROR(ABS(N($D169))/N($C169),0))</f>
        <v/>
      </c>
      <c r="N169" s="24">
        <f>IF($A169="","",IFERROR(N($E169)/N($C169),0))</f>
        <v/>
      </c>
      <c r="O169" s="23">
        <f>IF($A169="",0,IFERROR(SUMPRODUCT(($A$8:$A$307=$A169)*($P$8:$P$307="FAIL")*($U$8:$U$307&gt;$V169)*($U$8:$U$307&lt;=$U169)),0))</f>
        <v/>
      </c>
      <c r="P169" s="23">
        <f>IF($A169="","",IFERROR(IF(NOT(ISNUMBER($K169)),"CHECK",IF($L169="MARGIN",IF($N169&lt;=$K169,"PASS","FAIL"),IF($M169&lt;=$K169,"PASS","FAIL"))),"CHECK"))</f>
        <v/>
      </c>
      <c r="Q169" s="23">
        <f>IF($A169="","",IFERROR(INDEX('Ref_Tolerance'!$E$2:$E$9,MATCH($J169,'Ref_Tolerance'!$A$2:$A$9,0)),""))</f>
        <v/>
      </c>
      <c r="R169" s="23">
        <f>IF($A169="","",IFERROR(IF($O169=0,"CLEAR",IF($O169=1,"MFR DUE - MANAGER",IF($O169=2,"MFR DUE - FSS/CC SIGNATURE REQUIRED","INVESTIGATION + REPORT OF SURVEY; MSG/CC NOTIFIED"))),""))</f>
        <v/>
      </c>
      <c r="S169" s="23">
        <f>IF($A169="","",IF($O169=2,"WATCH - ONE MORE MISS TRIGGERS INVESTIGATION",""))</f>
        <v/>
      </c>
      <c r="T169" s="23">
        <f>IF($A169="","",IFERROR(IF(AND($O169&gt;=1,$F169&lt;&gt;"Y"),"MFR NOT SUBMITTED",IF(AND($O169&gt;=2,$G169&lt;&gt;"Y"),"FSS/CC SIGNATURE MISSING",IF(AND($O169&gt;=3,$H169&lt;&gt;"Y"),"INVESTIGATION NOT OPENED",""))),""))</f>
        <v/>
      </c>
      <c r="U169" s="25">
        <f>IF($A169="",0,IFERROR(MATCH($B169,'Ref_Calendar'!$A$2:$A$500,0),0))</f>
        <v/>
      </c>
      <c r="V169" s="25">
        <f>IF($A169="",0,IFERROR(SUMPRODUCT(MAX(($A$8:$A$307=$A169)*($P$8:$P$307="PASS")*($U$8:$U$307&lt;=$U169)*$U$8:$U$307)),0))</f>
        <v/>
      </c>
      <c r="W169" s="25">
        <f>IF($A169="","",IFERROR(INDEX('Ref_Crosswalk'!$E$2:$E$500,MATCH($A169,'Ref_Crosswalk'!$A$2:$A$500,0)),""))</f>
        <v/>
      </c>
      <c r="X169" s="25">
        <f>IF($A169="","",IFERROR(INDEX('Ref_Crosswalk'!$C$2:$C$500,MATCH($A169,'Ref_Crosswalk'!$A$2:$A$500,0)),""))</f>
        <v/>
      </c>
      <c r="Y169" s="25">
        <f>IF($A169="",0,IF(AND(OR('Out_Dashboard'!$C$5="",$W169='Out_Dashboard'!$C$5),OR('Out_Dashboard'!$C$6="",$X169='Out_Dashboard'!$C$6),OR('Out_Dashboard'!$C$7="",$B169='Out_Dashboard'!$C$7)),1,0))</f>
        <v/>
      </c>
      <c r="Z169" s="25">
        <f>IF(AND($A169&lt;&gt;"",$S169&lt;&gt;"",$Y169=1),SUMPRODUCT(($A$8:$A169&lt;&gt;"")*($S$8:$S169&lt;&gt;"")*($Y$8:$Y169=1)),"")</f>
        <v/>
      </c>
      <c r="AA169" s="25">
        <f>IF(AND($A169&lt;&gt;"",$T169&lt;&gt;"",$Y169=1),SUMPRODUCT(($A$8:$A169&lt;&gt;"")*($T$8:$T169&lt;&gt;"")*($Y$8:$Y169=1)),"")</f>
        <v/>
      </c>
    </row>
    <row r="170">
      <c r="A170" s="13" t="n"/>
      <c r="B170" s="13" t="n"/>
      <c r="C170" s="26" t="n"/>
      <c r="D170" s="26" t="n"/>
      <c r="E170" s="26" t="n"/>
      <c r="F170" s="13" t="n"/>
      <c r="G170" s="13" t="n"/>
      <c r="H170" s="13" t="n"/>
      <c r="I170" s="13" t="n"/>
      <c r="J170" s="23">
        <f>IF($A170="","",IFERROR(INDEX('Ref_Crosswalk'!$F$2:$F$500,MATCH($A170,'Ref_Crosswalk'!$A$2:$A$500,0)),"UNKNOWN"))</f>
        <v/>
      </c>
      <c r="K170" s="24">
        <f>IF($A170="","",IFERROR(INDEX('Ref_Tolerance'!$B$2:$B$9,MATCH($J170,'Ref_Tolerance'!$A$2:$A$9,0)),""))</f>
        <v/>
      </c>
      <c r="L170" s="23">
        <f>IF($A170="","",IFERROR(INDEX('Ref_Tolerance'!$D$2:$D$9,MATCH($J170,'Ref_Tolerance'!$A$2:$A$9,0)),""))</f>
        <v/>
      </c>
      <c r="M170" s="24">
        <f>IF($A170="","",IFERROR(ABS(N($D170))/N($C170),0))</f>
        <v/>
      </c>
      <c r="N170" s="24">
        <f>IF($A170="","",IFERROR(N($E170)/N($C170),0))</f>
        <v/>
      </c>
      <c r="O170" s="23">
        <f>IF($A170="",0,IFERROR(SUMPRODUCT(($A$8:$A$307=$A170)*($P$8:$P$307="FAIL")*($U$8:$U$307&gt;$V170)*($U$8:$U$307&lt;=$U170)),0))</f>
        <v/>
      </c>
      <c r="P170" s="23">
        <f>IF($A170="","",IFERROR(IF(NOT(ISNUMBER($K170)),"CHECK",IF($L170="MARGIN",IF($N170&lt;=$K170,"PASS","FAIL"),IF($M170&lt;=$K170,"PASS","FAIL"))),"CHECK"))</f>
        <v/>
      </c>
      <c r="Q170" s="23">
        <f>IF($A170="","",IFERROR(INDEX('Ref_Tolerance'!$E$2:$E$9,MATCH($J170,'Ref_Tolerance'!$A$2:$A$9,0)),""))</f>
        <v/>
      </c>
      <c r="R170" s="23">
        <f>IF($A170="","",IFERROR(IF($O170=0,"CLEAR",IF($O170=1,"MFR DUE - MANAGER",IF($O170=2,"MFR DUE - FSS/CC SIGNATURE REQUIRED","INVESTIGATION + REPORT OF SURVEY; MSG/CC NOTIFIED"))),""))</f>
        <v/>
      </c>
      <c r="S170" s="23">
        <f>IF($A170="","",IF($O170=2,"WATCH - ONE MORE MISS TRIGGERS INVESTIGATION",""))</f>
        <v/>
      </c>
      <c r="T170" s="23">
        <f>IF($A170="","",IFERROR(IF(AND($O170&gt;=1,$F170&lt;&gt;"Y"),"MFR NOT SUBMITTED",IF(AND($O170&gt;=2,$G170&lt;&gt;"Y"),"FSS/CC SIGNATURE MISSING",IF(AND($O170&gt;=3,$H170&lt;&gt;"Y"),"INVESTIGATION NOT OPENED",""))),""))</f>
        <v/>
      </c>
      <c r="U170" s="25">
        <f>IF($A170="",0,IFERROR(MATCH($B170,'Ref_Calendar'!$A$2:$A$500,0),0))</f>
        <v/>
      </c>
      <c r="V170" s="25">
        <f>IF($A170="",0,IFERROR(SUMPRODUCT(MAX(($A$8:$A$307=$A170)*($P$8:$P$307="PASS")*($U$8:$U$307&lt;=$U170)*$U$8:$U$307)),0))</f>
        <v/>
      </c>
      <c r="W170" s="25">
        <f>IF($A170="","",IFERROR(INDEX('Ref_Crosswalk'!$E$2:$E$500,MATCH($A170,'Ref_Crosswalk'!$A$2:$A$500,0)),""))</f>
        <v/>
      </c>
      <c r="X170" s="25">
        <f>IF($A170="","",IFERROR(INDEX('Ref_Crosswalk'!$C$2:$C$500,MATCH($A170,'Ref_Crosswalk'!$A$2:$A$500,0)),""))</f>
        <v/>
      </c>
      <c r="Y170" s="25">
        <f>IF($A170="",0,IF(AND(OR('Out_Dashboard'!$C$5="",$W170='Out_Dashboard'!$C$5),OR('Out_Dashboard'!$C$6="",$X170='Out_Dashboard'!$C$6),OR('Out_Dashboard'!$C$7="",$B170='Out_Dashboard'!$C$7)),1,0))</f>
        <v/>
      </c>
      <c r="Z170" s="25">
        <f>IF(AND($A170&lt;&gt;"",$S170&lt;&gt;"",$Y170=1),SUMPRODUCT(($A$8:$A170&lt;&gt;"")*($S$8:$S170&lt;&gt;"")*($Y$8:$Y170=1)),"")</f>
        <v/>
      </c>
      <c r="AA170" s="25">
        <f>IF(AND($A170&lt;&gt;"",$T170&lt;&gt;"",$Y170=1),SUMPRODUCT(($A$8:$A170&lt;&gt;"")*($T$8:$T170&lt;&gt;"")*($Y$8:$Y170=1)),"")</f>
        <v/>
      </c>
    </row>
    <row r="171">
      <c r="A171" s="13" t="n"/>
      <c r="B171" s="13" t="n"/>
      <c r="C171" s="26" t="n"/>
      <c r="D171" s="26" t="n"/>
      <c r="E171" s="26" t="n"/>
      <c r="F171" s="13" t="n"/>
      <c r="G171" s="13" t="n"/>
      <c r="H171" s="13" t="n"/>
      <c r="I171" s="13" t="n"/>
      <c r="J171" s="23">
        <f>IF($A171="","",IFERROR(INDEX('Ref_Crosswalk'!$F$2:$F$500,MATCH($A171,'Ref_Crosswalk'!$A$2:$A$500,0)),"UNKNOWN"))</f>
        <v/>
      </c>
      <c r="K171" s="24">
        <f>IF($A171="","",IFERROR(INDEX('Ref_Tolerance'!$B$2:$B$9,MATCH($J171,'Ref_Tolerance'!$A$2:$A$9,0)),""))</f>
        <v/>
      </c>
      <c r="L171" s="23">
        <f>IF($A171="","",IFERROR(INDEX('Ref_Tolerance'!$D$2:$D$9,MATCH($J171,'Ref_Tolerance'!$A$2:$A$9,0)),""))</f>
        <v/>
      </c>
      <c r="M171" s="24">
        <f>IF($A171="","",IFERROR(ABS(N($D171))/N($C171),0))</f>
        <v/>
      </c>
      <c r="N171" s="24">
        <f>IF($A171="","",IFERROR(N($E171)/N($C171),0))</f>
        <v/>
      </c>
      <c r="O171" s="23">
        <f>IF($A171="",0,IFERROR(SUMPRODUCT(($A$8:$A$307=$A171)*($P$8:$P$307="FAIL")*($U$8:$U$307&gt;$V171)*($U$8:$U$307&lt;=$U171)),0))</f>
        <v/>
      </c>
      <c r="P171" s="23">
        <f>IF($A171="","",IFERROR(IF(NOT(ISNUMBER($K171)),"CHECK",IF($L171="MARGIN",IF($N171&lt;=$K171,"PASS","FAIL"),IF($M171&lt;=$K171,"PASS","FAIL"))),"CHECK"))</f>
        <v/>
      </c>
      <c r="Q171" s="23">
        <f>IF($A171="","",IFERROR(INDEX('Ref_Tolerance'!$E$2:$E$9,MATCH($J171,'Ref_Tolerance'!$A$2:$A$9,0)),""))</f>
        <v/>
      </c>
      <c r="R171" s="23">
        <f>IF($A171="","",IFERROR(IF($O171=0,"CLEAR",IF($O171=1,"MFR DUE - MANAGER",IF($O171=2,"MFR DUE - FSS/CC SIGNATURE REQUIRED","INVESTIGATION + REPORT OF SURVEY; MSG/CC NOTIFIED"))),""))</f>
        <v/>
      </c>
      <c r="S171" s="23">
        <f>IF($A171="","",IF($O171=2,"WATCH - ONE MORE MISS TRIGGERS INVESTIGATION",""))</f>
        <v/>
      </c>
      <c r="T171" s="23">
        <f>IF($A171="","",IFERROR(IF(AND($O171&gt;=1,$F171&lt;&gt;"Y"),"MFR NOT SUBMITTED",IF(AND($O171&gt;=2,$G171&lt;&gt;"Y"),"FSS/CC SIGNATURE MISSING",IF(AND($O171&gt;=3,$H171&lt;&gt;"Y"),"INVESTIGATION NOT OPENED",""))),""))</f>
        <v/>
      </c>
      <c r="U171" s="25">
        <f>IF($A171="",0,IFERROR(MATCH($B171,'Ref_Calendar'!$A$2:$A$500,0),0))</f>
        <v/>
      </c>
      <c r="V171" s="25">
        <f>IF($A171="",0,IFERROR(SUMPRODUCT(MAX(($A$8:$A$307=$A171)*($P$8:$P$307="PASS")*($U$8:$U$307&lt;=$U171)*$U$8:$U$307)),0))</f>
        <v/>
      </c>
      <c r="W171" s="25">
        <f>IF($A171="","",IFERROR(INDEX('Ref_Crosswalk'!$E$2:$E$500,MATCH($A171,'Ref_Crosswalk'!$A$2:$A$500,0)),""))</f>
        <v/>
      </c>
      <c r="X171" s="25">
        <f>IF($A171="","",IFERROR(INDEX('Ref_Crosswalk'!$C$2:$C$500,MATCH($A171,'Ref_Crosswalk'!$A$2:$A$500,0)),""))</f>
        <v/>
      </c>
      <c r="Y171" s="25">
        <f>IF($A171="",0,IF(AND(OR('Out_Dashboard'!$C$5="",$W171='Out_Dashboard'!$C$5),OR('Out_Dashboard'!$C$6="",$X171='Out_Dashboard'!$C$6),OR('Out_Dashboard'!$C$7="",$B171='Out_Dashboard'!$C$7)),1,0))</f>
        <v/>
      </c>
      <c r="Z171" s="25">
        <f>IF(AND($A171&lt;&gt;"",$S171&lt;&gt;"",$Y171=1),SUMPRODUCT(($A$8:$A171&lt;&gt;"")*($S$8:$S171&lt;&gt;"")*($Y$8:$Y171=1)),"")</f>
        <v/>
      </c>
      <c r="AA171" s="25">
        <f>IF(AND($A171&lt;&gt;"",$T171&lt;&gt;"",$Y171=1),SUMPRODUCT(($A$8:$A171&lt;&gt;"")*($T$8:$T171&lt;&gt;"")*($Y$8:$Y171=1)),"")</f>
        <v/>
      </c>
    </row>
    <row r="172">
      <c r="A172" s="13" t="n"/>
      <c r="B172" s="13" t="n"/>
      <c r="C172" s="26" t="n"/>
      <c r="D172" s="26" t="n"/>
      <c r="E172" s="26" t="n"/>
      <c r="F172" s="13" t="n"/>
      <c r="G172" s="13" t="n"/>
      <c r="H172" s="13" t="n"/>
      <c r="I172" s="13" t="n"/>
      <c r="J172" s="23">
        <f>IF($A172="","",IFERROR(INDEX('Ref_Crosswalk'!$F$2:$F$500,MATCH($A172,'Ref_Crosswalk'!$A$2:$A$500,0)),"UNKNOWN"))</f>
        <v/>
      </c>
      <c r="K172" s="24">
        <f>IF($A172="","",IFERROR(INDEX('Ref_Tolerance'!$B$2:$B$9,MATCH($J172,'Ref_Tolerance'!$A$2:$A$9,0)),""))</f>
        <v/>
      </c>
      <c r="L172" s="23">
        <f>IF($A172="","",IFERROR(INDEX('Ref_Tolerance'!$D$2:$D$9,MATCH($J172,'Ref_Tolerance'!$A$2:$A$9,0)),""))</f>
        <v/>
      </c>
      <c r="M172" s="24">
        <f>IF($A172="","",IFERROR(ABS(N($D172))/N($C172),0))</f>
        <v/>
      </c>
      <c r="N172" s="24">
        <f>IF($A172="","",IFERROR(N($E172)/N($C172),0))</f>
        <v/>
      </c>
      <c r="O172" s="23">
        <f>IF($A172="",0,IFERROR(SUMPRODUCT(($A$8:$A$307=$A172)*($P$8:$P$307="FAIL")*($U$8:$U$307&gt;$V172)*($U$8:$U$307&lt;=$U172)),0))</f>
        <v/>
      </c>
      <c r="P172" s="23">
        <f>IF($A172="","",IFERROR(IF(NOT(ISNUMBER($K172)),"CHECK",IF($L172="MARGIN",IF($N172&lt;=$K172,"PASS","FAIL"),IF($M172&lt;=$K172,"PASS","FAIL"))),"CHECK"))</f>
        <v/>
      </c>
      <c r="Q172" s="23">
        <f>IF($A172="","",IFERROR(INDEX('Ref_Tolerance'!$E$2:$E$9,MATCH($J172,'Ref_Tolerance'!$A$2:$A$9,0)),""))</f>
        <v/>
      </c>
      <c r="R172" s="23">
        <f>IF($A172="","",IFERROR(IF($O172=0,"CLEAR",IF($O172=1,"MFR DUE - MANAGER",IF($O172=2,"MFR DUE - FSS/CC SIGNATURE REQUIRED","INVESTIGATION + REPORT OF SURVEY; MSG/CC NOTIFIED"))),""))</f>
        <v/>
      </c>
      <c r="S172" s="23">
        <f>IF($A172="","",IF($O172=2,"WATCH - ONE MORE MISS TRIGGERS INVESTIGATION",""))</f>
        <v/>
      </c>
      <c r="T172" s="23">
        <f>IF($A172="","",IFERROR(IF(AND($O172&gt;=1,$F172&lt;&gt;"Y"),"MFR NOT SUBMITTED",IF(AND($O172&gt;=2,$G172&lt;&gt;"Y"),"FSS/CC SIGNATURE MISSING",IF(AND($O172&gt;=3,$H172&lt;&gt;"Y"),"INVESTIGATION NOT OPENED",""))),""))</f>
        <v/>
      </c>
      <c r="U172" s="25">
        <f>IF($A172="",0,IFERROR(MATCH($B172,'Ref_Calendar'!$A$2:$A$500,0),0))</f>
        <v/>
      </c>
      <c r="V172" s="25">
        <f>IF($A172="",0,IFERROR(SUMPRODUCT(MAX(($A$8:$A$307=$A172)*($P$8:$P$307="PASS")*($U$8:$U$307&lt;=$U172)*$U$8:$U$307)),0))</f>
        <v/>
      </c>
      <c r="W172" s="25">
        <f>IF($A172="","",IFERROR(INDEX('Ref_Crosswalk'!$E$2:$E$500,MATCH($A172,'Ref_Crosswalk'!$A$2:$A$500,0)),""))</f>
        <v/>
      </c>
      <c r="X172" s="25">
        <f>IF($A172="","",IFERROR(INDEX('Ref_Crosswalk'!$C$2:$C$500,MATCH($A172,'Ref_Crosswalk'!$A$2:$A$500,0)),""))</f>
        <v/>
      </c>
      <c r="Y172" s="25">
        <f>IF($A172="",0,IF(AND(OR('Out_Dashboard'!$C$5="",$W172='Out_Dashboard'!$C$5),OR('Out_Dashboard'!$C$6="",$X172='Out_Dashboard'!$C$6),OR('Out_Dashboard'!$C$7="",$B172='Out_Dashboard'!$C$7)),1,0))</f>
        <v/>
      </c>
      <c r="Z172" s="25">
        <f>IF(AND($A172&lt;&gt;"",$S172&lt;&gt;"",$Y172=1),SUMPRODUCT(($A$8:$A172&lt;&gt;"")*($S$8:$S172&lt;&gt;"")*($Y$8:$Y172=1)),"")</f>
        <v/>
      </c>
      <c r="AA172" s="25">
        <f>IF(AND($A172&lt;&gt;"",$T172&lt;&gt;"",$Y172=1),SUMPRODUCT(($A$8:$A172&lt;&gt;"")*($T$8:$T172&lt;&gt;"")*($Y$8:$Y172=1)),"")</f>
        <v/>
      </c>
    </row>
    <row r="173">
      <c r="A173" s="13" t="n"/>
      <c r="B173" s="13" t="n"/>
      <c r="C173" s="26" t="n"/>
      <c r="D173" s="26" t="n"/>
      <c r="E173" s="26" t="n"/>
      <c r="F173" s="13" t="n"/>
      <c r="G173" s="13" t="n"/>
      <c r="H173" s="13" t="n"/>
      <c r="I173" s="13" t="n"/>
      <c r="J173" s="23">
        <f>IF($A173="","",IFERROR(INDEX('Ref_Crosswalk'!$F$2:$F$500,MATCH($A173,'Ref_Crosswalk'!$A$2:$A$500,0)),"UNKNOWN"))</f>
        <v/>
      </c>
      <c r="K173" s="24">
        <f>IF($A173="","",IFERROR(INDEX('Ref_Tolerance'!$B$2:$B$9,MATCH($J173,'Ref_Tolerance'!$A$2:$A$9,0)),""))</f>
        <v/>
      </c>
      <c r="L173" s="23">
        <f>IF($A173="","",IFERROR(INDEX('Ref_Tolerance'!$D$2:$D$9,MATCH($J173,'Ref_Tolerance'!$A$2:$A$9,0)),""))</f>
        <v/>
      </c>
      <c r="M173" s="24">
        <f>IF($A173="","",IFERROR(ABS(N($D173))/N($C173),0))</f>
        <v/>
      </c>
      <c r="N173" s="24">
        <f>IF($A173="","",IFERROR(N($E173)/N($C173),0))</f>
        <v/>
      </c>
      <c r="O173" s="23">
        <f>IF($A173="",0,IFERROR(SUMPRODUCT(($A$8:$A$307=$A173)*($P$8:$P$307="FAIL")*($U$8:$U$307&gt;$V173)*($U$8:$U$307&lt;=$U173)),0))</f>
        <v/>
      </c>
      <c r="P173" s="23">
        <f>IF($A173="","",IFERROR(IF(NOT(ISNUMBER($K173)),"CHECK",IF($L173="MARGIN",IF($N173&lt;=$K173,"PASS","FAIL"),IF($M173&lt;=$K173,"PASS","FAIL"))),"CHECK"))</f>
        <v/>
      </c>
      <c r="Q173" s="23">
        <f>IF($A173="","",IFERROR(INDEX('Ref_Tolerance'!$E$2:$E$9,MATCH($J173,'Ref_Tolerance'!$A$2:$A$9,0)),""))</f>
        <v/>
      </c>
      <c r="R173" s="23">
        <f>IF($A173="","",IFERROR(IF($O173=0,"CLEAR",IF($O173=1,"MFR DUE - MANAGER",IF($O173=2,"MFR DUE - FSS/CC SIGNATURE REQUIRED","INVESTIGATION + REPORT OF SURVEY; MSG/CC NOTIFIED"))),""))</f>
        <v/>
      </c>
      <c r="S173" s="23">
        <f>IF($A173="","",IF($O173=2,"WATCH - ONE MORE MISS TRIGGERS INVESTIGATION",""))</f>
        <v/>
      </c>
      <c r="T173" s="23">
        <f>IF($A173="","",IFERROR(IF(AND($O173&gt;=1,$F173&lt;&gt;"Y"),"MFR NOT SUBMITTED",IF(AND($O173&gt;=2,$G173&lt;&gt;"Y"),"FSS/CC SIGNATURE MISSING",IF(AND($O173&gt;=3,$H173&lt;&gt;"Y"),"INVESTIGATION NOT OPENED",""))),""))</f>
        <v/>
      </c>
      <c r="U173" s="25">
        <f>IF($A173="",0,IFERROR(MATCH($B173,'Ref_Calendar'!$A$2:$A$500,0),0))</f>
        <v/>
      </c>
      <c r="V173" s="25">
        <f>IF($A173="",0,IFERROR(SUMPRODUCT(MAX(($A$8:$A$307=$A173)*($P$8:$P$307="PASS")*($U$8:$U$307&lt;=$U173)*$U$8:$U$307)),0))</f>
        <v/>
      </c>
      <c r="W173" s="25">
        <f>IF($A173="","",IFERROR(INDEX('Ref_Crosswalk'!$E$2:$E$500,MATCH($A173,'Ref_Crosswalk'!$A$2:$A$500,0)),""))</f>
        <v/>
      </c>
      <c r="X173" s="25">
        <f>IF($A173="","",IFERROR(INDEX('Ref_Crosswalk'!$C$2:$C$500,MATCH($A173,'Ref_Crosswalk'!$A$2:$A$500,0)),""))</f>
        <v/>
      </c>
      <c r="Y173" s="25">
        <f>IF($A173="",0,IF(AND(OR('Out_Dashboard'!$C$5="",$W173='Out_Dashboard'!$C$5),OR('Out_Dashboard'!$C$6="",$X173='Out_Dashboard'!$C$6),OR('Out_Dashboard'!$C$7="",$B173='Out_Dashboard'!$C$7)),1,0))</f>
        <v/>
      </c>
      <c r="Z173" s="25">
        <f>IF(AND($A173&lt;&gt;"",$S173&lt;&gt;"",$Y173=1),SUMPRODUCT(($A$8:$A173&lt;&gt;"")*($S$8:$S173&lt;&gt;"")*($Y$8:$Y173=1)),"")</f>
        <v/>
      </c>
      <c r="AA173" s="25">
        <f>IF(AND($A173&lt;&gt;"",$T173&lt;&gt;"",$Y173=1),SUMPRODUCT(($A$8:$A173&lt;&gt;"")*($T$8:$T173&lt;&gt;"")*($Y$8:$Y173=1)),"")</f>
        <v/>
      </c>
    </row>
    <row r="174">
      <c r="A174" s="13" t="n"/>
      <c r="B174" s="13" t="n"/>
      <c r="C174" s="26" t="n"/>
      <c r="D174" s="26" t="n"/>
      <c r="E174" s="26" t="n"/>
      <c r="F174" s="13" t="n"/>
      <c r="G174" s="13" t="n"/>
      <c r="H174" s="13" t="n"/>
      <c r="I174" s="13" t="n"/>
      <c r="J174" s="23">
        <f>IF($A174="","",IFERROR(INDEX('Ref_Crosswalk'!$F$2:$F$500,MATCH($A174,'Ref_Crosswalk'!$A$2:$A$500,0)),"UNKNOWN"))</f>
        <v/>
      </c>
      <c r="K174" s="24">
        <f>IF($A174="","",IFERROR(INDEX('Ref_Tolerance'!$B$2:$B$9,MATCH($J174,'Ref_Tolerance'!$A$2:$A$9,0)),""))</f>
        <v/>
      </c>
      <c r="L174" s="23">
        <f>IF($A174="","",IFERROR(INDEX('Ref_Tolerance'!$D$2:$D$9,MATCH($J174,'Ref_Tolerance'!$A$2:$A$9,0)),""))</f>
        <v/>
      </c>
      <c r="M174" s="24">
        <f>IF($A174="","",IFERROR(ABS(N($D174))/N($C174),0))</f>
        <v/>
      </c>
      <c r="N174" s="24">
        <f>IF($A174="","",IFERROR(N($E174)/N($C174),0))</f>
        <v/>
      </c>
      <c r="O174" s="23">
        <f>IF($A174="",0,IFERROR(SUMPRODUCT(($A$8:$A$307=$A174)*($P$8:$P$307="FAIL")*($U$8:$U$307&gt;$V174)*($U$8:$U$307&lt;=$U174)),0))</f>
        <v/>
      </c>
      <c r="P174" s="23">
        <f>IF($A174="","",IFERROR(IF(NOT(ISNUMBER($K174)),"CHECK",IF($L174="MARGIN",IF($N174&lt;=$K174,"PASS","FAIL"),IF($M174&lt;=$K174,"PASS","FAIL"))),"CHECK"))</f>
        <v/>
      </c>
      <c r="Q174" s="23">
        <f>IF($A174="","",IFERROR(INDEX('Ref_Tolerance'!$E$2:$E$9,MATCH($J174,'Ref_Tolerance'!$A$2:$A$9,0)),""))</f>
        <v/>
      </c>
      <c r="R174" s="23">
        <f>IF($A174="","",IFERROR(IF($O174=0,"CLEAR",IF($O174=1,"MFR DUE - MANAGER",IF($O174=2,"MFR DUE - FSS/CC SIGNATURE REQUIRED","INVESTIGATION + REPORT OF SURVEY; MSG/CC NOTIFIED"))),""))</f>
        <v/>
      </c>
      <c r="S174" s="23">
        <f>IF($A174="","",IF($O174=2,"WATCH - ONE MORE MISS TRIGGERS INVESTIGATION",""))</f>
        <v/>
      </c>
      <c r="T174" s="23">
        <f>IF($A174="","",IFERROR(IF(AND($O174&gt;=1,$F174&lt;&gt;"Y"),"MFR NOT SUBMITTED",IF(AND($O174&gt;=2,$G174&lt;&gt;"Y"),"FSS/CC SIGNATURE MISSING",IF(AND($O174&gt;=3,$H174&lt;&gt;"Y"),"INVESTIGATION NOT OPENED",""))),""))</f>
        <v/>
      </c>
      <c r="U174" s="25">
        <f>IF($A174="",0,IFERROR(MATCH($B174,'Ref_Calendar'!$A$2:$A$500,0),0))</f>
        <v/>
      </c>
      <c r="V174" s="25">
        <f>IF($A174="",0,IFERROR(SUMPRODUCT(MAX(($A$8:$A$307=$A174)*($P$8:$P$307="PASS")*($U$8:$U$307&lt;=$U174)*$U$8:$U$307)),0))</f>
        <v/>
      </c>
      <c r="W174" s="25">
        <f>IF($A174="","",IFERROR(INDEX('Ref_Crosswalk'!$E$2:$E$500,MATCH($A174,'Ref_Crosswalk'!$A$2:$A$500,0)),""))</f>
        <v/>
      </c>
      <c r="X174" s="25">
        <f>IF($A174="","",IFERROR(INDEX('Ref_Crosswalk'!$C$2:$C$500,MATCH($A174,'Ref_Crosswalk'!$A$2:$A$500,0)),""))</f>
        <v/>
      </c>
      <c r="Y174" s="25">
        <f>IF($A174="",0,IF(AND(OR('Out_Dashboard'!$C$5="",$W174='Out_Dashboard'!$C$5),OR('Out_Dashboard'!$C$6="",$X174='Out_Dashboard'!$C$6),OR('Out_Dashboard'!$C$7="",$B174='Out_Dashboard'!$C$7)),1,0))</f>
        <v/>
      </c>
      <c r="Z174" s="25">
        <f>IF(AND($A174&lt;&gt;"",$S174&lt;&gt;"",$Y174=1),SUMPRODUCT(($A$8:$A174&lt;&gt;"")*($S$8:$S174&lt;&gt;"")*($Y$8:$Y174=1)),"")</f>
        <v/>
      </c>
      <c r="AA174" s="25">
        <f>IF(AND($A174&lt;&gt;"",$T174&lt;&gt;"",$Y174=1),SUMPRODUCT(($A$8:$A174&lt;&gt;"")*($T$8:$T174&lt;&gt;"")*($Y$8:$Y174=1)),"")</f>
        <v/>
      </c>
    </row>
    <row r="175">
      <c r="A175" s="13" t="n"/>
      <c r="B175" s="13" t="n"/>
      <c r="C175" s="26" t="n"/>
      <c r="D175" s="26" t="n"/>
      <c r="E175" s="26" t="n"/>
      <c r="F175" s="13" t="n"/>
      <c r="G175" s="13" t="n"/>
      <c r="H175" s="13" t="n"/>
      <c r="I175" s="13" t="n"/>
      <c r="J175" s="23">
        <f>IF($A175="","",IFERROR(INDEX('Ref_Crosswalk'!$F$2:$F$500,MATCH($A175,'Ref_Crosswalk'!$A$2:$A$500,0)),"UNKNOWN"))</f>
        <v/>
      </c>
      <c r="K175" s="24">
        <f>IF($A175="","",IFERROR(INDEX('Ref_Tolerance'!$B$2:$B$9,MATCH($J175,'Ref_Tolerance'!$A$2:$A$9,0)),""))</f>
        <v/>
      </c>
      <c r="L175" s="23">
        <f>IF($A175="","",IFERROR(INDEX('Ref_Tolerance'!$D$2:$D$9,MATCH($J175,'Ref_Tolerance'!$A$2:$A$9,0)),""))</f>
        <v/>
      </c>
      <c r="M175" s="24">
        <f>IF($A175="","",IFERROR(ABS(N($D175))/N($C175),0))</f>
        <v/>
      </c>
      <c r="N175" s="24">
        <f>IF($A175="","",IFERROR(N($E175)/N($C175),0))</f>
        <v/>
      </c>
      <c r="O175" s="23">
        <f>IF($A175="",0,IFERROR(SUMPRODUCT(($A$8:$A$307=$A175)*($P$8:$P$307="FAIL")*($U$8:$U$307&gt;$V175)*($U$8:$U$307&lt;=$U175)),0))</f>
        <v/>
      </c>
      <c r="P175" s="23">
        <f>IF($A175="","",IFERROR(IF(NOT(ISNUMBER($K175)),"CHECK",IF($L175="MARGIN",IF($N175&lt;=$K175,"PASS","FAIL"),IF($M175&lt;=$K175,"PASS","FAIL"))),"CHECK"))</f>
        <v/>
      </c>
      <c r="Q175" s="23">
        <f>IF($A175="","",IFERROR(INDEX('Ref_Tolerance'!$E$2:$E$9,MATCH($J175,'Ref_Tolerance'!$A$2:$A$9,0)),""))</f>
        <v/>
      </c>
      <c r="R175" s="23">
        <f>IF($A175="","",IFERROR(IF($O175=0,"CLEAR",IF($O175=1,"MFR DUE - MANAGER",IF($O175=2,"MFR DUE - FSS/CC SIGNATURE REQUIRED","INVESTIGATION + REPORT OF SURVEY; MSG/CC NOTIFIED"))),""))</f>
        <v/>
      </c>
      <c r="S175" s="23">
        <f>IF($A175="","",IF($O175=2,"WATCH - ONE MORE MISS TRIGGERS INVESTIGATION",""))</f>
        <v/>
      </c>
      <c r="T175" s="23">
        <f>IF($A175="","",IFERROR(IF(AND($O175&gt;=1,$F175&lt;&gt;"Y"),"MFR NOT SUBMITTED",IF(AND($O175&gt;=2,$G175&lt;&gt;"Y"),"FSS/CC SIGNATURE MISSING",IF(AND($O175&gt;=3,$H175&lt;&gt;"Y"),"INVESTIGATION NOT OPENED",""))),""))</f>
        <v/>
      </c>
      <c r="U175" s="25">
        <f>IF($A175="",0,IFERROR(MATCH($B175,'Ref_Calendar'!$A$2:$A$500,0),0))</f>
        <v/>
      </c>
      <c r="V175" s="25">
        <f>IF($A175="",0,IFERROR(SUMPRODUCT(MAX(($A$8:$A$307=$A175)*($P$8:$P$307="PASS")*($U$8:$U$307&lt;=$U175)*$U$8:$U$307)),0))</f>
        <v/>
      </c>
      <c r="W175" s="25">
        <f>IF($A175="","",IFERROR(INDEX('Ref_Crosswalk'!$E$2:$E$500,MATCH($A175,'Ref_Crosswalk'!$A$2:$A$500,0)),""))</f>
        <v/>
      </c>
      <c r="X175" s="25">
        <f>IF($A175="","",IFERROR(INDEX('Ref_Crosswalk'!$C$2:$C$500,MATCH($A175,'Ref_Crosswalk'!$A$2:$A$500,0)),""))</f>
        <v/>
      </c>
      <c r="Y175" s="25">
        <f>IF($A175="",0,IF(AND(OR('Out_Dashboard'!$C$5="",$W175='Out_Dashboard'!$C$5),OR('Out_Dashboard'!$C$6="",$X175='Out_Dashboard'!$C$6),OR('Out_Dashboard'!$C$7="",$B175='Out_Dashboard'!$C$7)),1,0))</f>
        <v/>
      </c>
      <c r="Z175" s="25">
        <f>IF(AND($A175&lt;&gt;"",$S175&lt;&gt;"",$Y175=1),SUMPRODUCT(($A$8:$A175&lt;&gt;"")*($S$8:$S175&lt;&gt;"")*($Y$8:$Y175=1)),"")</f>
        <v/>
      </c>
      <c r="AA175" s="25">
        <f>IF(AND($A175&lt;&gt;"",$T175&lt;&gt;"",$Y175=1),SUMPRODUCT(($A$8:$A175&lt;&gt;"")*($T$8:$T175&lt;&gt;"")*($Y$8:$Y175=1)),"")</f>
        <v/>
      </c>
    </row>
    <row r="176">
      <c r="A176" s="13" t="n"/>
      <c r="B176" s="13" t="n"/>
      <c r="C176" s="26" t="n"/>
      <c r="D176" s="26" t="n"/>
      <c r="E176" s="26" t="n"/>
      <c r="F176" s="13" t="n"/>
      <c r="G176" s="13" t="n"/>
      <c r="H176" s="13" t="n"/>
      <c r="I176" s="13" t="n"/>
      <c r="J176" s="23">
        <f>IF($A176="","",IFERROR(INDEX('Ref_Crosswalk'!$F$2:$F$500,MATCH($A176,'Ref_Crosswalk'!$A$2:$A$500,0)),"UNKNOWN"))</f>
        <v/>
      </c>
      <c r="K176" s="24">
        <f>IF($A176="","",IFERROR(INDEX('Ref_Tolerance'!$B$2:$B$9,MATCH($J176,'Ref_Tolerance'!$A$2:$A$9,0)),""))</f>
        <v/>
      </c>
      <c r="L176" s="23">
        <f>IF($A176="","",IFERROR(INDEX('Ref_Tolerance'!$D$2:$D$9,MATCH($J176,'Ref_Tolerance'!$A$2:$A$9,0)),""))</f>
        <v/>
      </c>
      <c r="M176" s="24">
        <f>IF($A176="","",IFERROR(ABS(N($D176))/N($C176),0))</f>
        <v/>
      </c>
      <c r="N176" s="24">
        <f>IF($A176="","",IFERROR(N($E176)/N($C176),0))</f>
        <v/>
      </c>
      <c r="O176" s="23">
        <f>IF($A176="",0,IFERROR(SUMPRODUCT(($A$8:$A$307=$A176)*($P$8:$P$307="FAIL")*($U$8:$U$307&gt;$V176)*($U$8:$U$307&lt;=$U176)),0))</f>
        <v/>
      </c>
      <c r="P176" s="23">
        <f>IF($A176="","",IFERROR(IF(NOT(ISNUMBER($K176)),"CHECK",IF($L176="MARGIN",IF($N176&lt;=$K176,"PASS","FAIL"),IF($M176&lt;=$K176,"PASS","FAIL"))),"CHECK"))</f>
        <v/>
      </c>
      <c r="Q176" s="23">
        <f>IF($A176="","",IFERROR(INDEX('Ref_Tolerance'!$E$2:$E$9,MATCH($J176,'Ref_Tolerance'!$A$2:$A$9,0)),""))</f>
        <v/>
      </c>
      <c r="R176" s="23">
        <f>IF($A176="","",IFERROR(IF($O176=0,"CLEAR",IF($O176=1,"MFR DUE - MANAGER",IF($O176=2,"MFR DUE - FSS/CC SIGNATURE REQUIRED","INVESTIGATION + REPORT OF SURVEY; MSG/CC NOTIFIED"))),""))</f>
        <v/>
      </c>
      <c r="S176" s="23">
        <f>IF($A176="","",IF($O176=2,"WATCH - ONE MORE MISS TRIGGERS INVESTIGATION",""))</f>
        <v/>
      </c>
      <c r="T176" s="23">
        <f>IF($A176="","",IFERROR(IF(AND($O176&gt;=1,$F176&lt;&gt;"Y"),"MFR NOT SUBMITTED",IF(AND($O176&gt;=2,$G176&lt;&gt;"Y"),"FSS/CC SIGNATURE MISSING",IF(AND($O176&gt;=3,$H176&lt;&gt;"Y"),"INVESTIGATION NOT OPENED",""))),""))</f>
        <v/>
      </c>
      <c r="U176" s="25">
        <f>IF($A176="",0,IFERROR(MATCH($B176,'Ref_Calendar'!$A$2:$A$500,0),0))</f>
        <v/>
      </c>
      <c r="V176" s="25">
        <f>IF($A176="",0,IFERROR(SUMPRODUCT(MAX(($A$8:$A$307=$A176)*($P$8:$P$307="PASS")*($U$8:$U$307&lt;=$U176)*$U$8:$U$307)),0))</f>
        <v/>
      </c>
      <c r="W176" s="25">
        <f>IF($A176="","",IFERROR(INDEX('Ref_Crosswalk'!$E$2:$E$500,MATCH($A176,'Ref_Crosswalk'!$A$2:$A$500,0)),""))</f>
        <v/>
      </c>
      <c r="X176" s="25">
        <f>IF($A176="","",IFERROR(INDEX('Ref_Crosswalk'!$C$2:$C$500,MATCH($A176,'Ref_Crosswalk'!$A$2:$A$500,0)),""))</f>
        <v/>
      </c>
      <c r="Y176" s="25">
        <f>IF($A176="",0,IF(AND(OR('Out_Dashboard'!$C$5="",$W176='Out_Dashboard'!$C$5),OR('Out_Dashboard'!$C$6="",$X176='Out_Dashboard'!$C$6),OR('Out_Dashboard'!$C$7="",$B176='Out_Dashboard'!$C$7)),1,0))</f>
        <v/>
      </c>
      <c r="Z176" s="25">
        <f>IF(AND($A176&lt;&gt;"",$S176&lt;&gt;"",$Y176=1),SUMPRODUCT(($A$8:$A176&lt;&gt;"")*($S$8:$S176&lt;&gt;"")*($Y$8:$Y176=1)),"")</f>
        <v/>
      </c>
      <c r="AA176" s="25">
        <f>IF(AND($A176&lt;&gt;"",$T176&lt;&gt;"",$Y176=1),SUMPRODUCT(($A$8:$A176&lt;&gt;"")*($T$8:$T176&lt;&gt;"")*($Y$8:$Y176=1)),"")</f>
        <v/>
      </c>
    </row>
    <row r="177">
      <c r="A177" s="13" t="n"/>
      <c r="B177" s="13" t="n"/>
      <c r="C177" s="26" t="n"/>
      <c r="D177" s="26" t="n"/>
      <c r="E177" s="26" t="n"/>
      <c r="F177" s="13" t="n"/>
      <c r="G177" s="13" t="n"/>
      <c r="H177" s="13" t="n"/>
      <c r="I177" s="13" t="n"/>
      <c r="J177" s="23">
        <f>IF($A177="","",IFERROR(INDEX('Ref_Crosswalk'!$F$2:$F$500,MATCH($A177,'Ref_Crosswalk'!$A$2:$A$500,0)),"UNKNOWN"))</f>
        <v/>
      </c>
      <c r="K177" s="24">
        <f>IF($A177="","",IFERROR(INDEX('Ref_Tolerance'!$B$2:$B$9,MATCH($J177,'Ref_Tolerance'!$A$2:$A$9,0)),""))</f>
        <v/>
      </c>
      <c r="L177" s="23">
        <f>IF($A177="","",IFERROR(INDEX('Ref_Tolerance'!$D$2:$D$9,MATCH($J177,'Ref_Tolerance'!$A$2:$A$9,0)),""))</f>
        <v/>
      </c>
      <c r="M177" s="24">
        <f>IF($A177="","",IFERROR(ABS(N($D177))/N($C177),0))</f>
        <v/>
      </c>
      <c r="N177" s="24">
        <f>IF($A177="","",IFERROR(N($E177)/N($C177),0))</f>
        <v/>
      </c>
      <c r="O177" s="23">
        <f>IF($A177="",0,IFERROR(SUMPRODUCT(($A$8:$A$307=$A177)*($P$8:$P$307="FAIL")*($U$8:$U$307&gt;$V177)*($U$8:$U$307&lt;=$U177)),0))</f>
        <v/>
      </c>
      <c r="P177" s="23">
        <f>IF($A177="","",IFERROR(IF(NOT(ISNUMBER($K177)),"CHECK",IF($L177="MARGIN",IF($N177&lt;=$K177,"PASS","FAIL"),IF($M177&lt;=$K177,"PASS","FAIL"))),"CHECK"))</f>
        <v/>
      </c>
      <c r="Q177" s="23">
        <f>IF($A177="","",IFERROR(INDEX('Ref_Tolerance'!$E$2:$E$9,MATCH($J177,'Ref_Tolerance'!$A$2:$A$9,0)),""))</f>
        <v/>
      </c>
      <c r="R177" s="23">
        <f>IF($A177="","",IFERROR(IF($O177=0,"CLEAR",IF($O177=1,"MFR DUE - MANAGER",IF($O177=2,"MFR DUE - FSS/CC SIGNATURE REQUIRED","INVESTIGATION + REPORT OF SURVEY; MSG/CC NOTIFIED"))),""))</f>
        <v/>
      </c>
      <c r="S177" s="23">
        <f>IF($A177="","",IF($O177=2,"WATCH - ONE MORE MISS TRIGGERS INVESTIGATION",""))</f>
        <v/>
      </c>
      <c r="T177" s="23">
        <f>IF($A177="","",IFERROR(IF(AND($O177&gt;=1,$F177&lt;&gt;"Y"),"MFR NOT SUBMITTED",IF(AND($O177&gt;=2,$G177&lt;&gt;"Y"),"FSS/CC SIGNATURE MISSING",IF(AND($O177&gt;=3,$H177&lt;&gt;"Y"),"INVESTIGATION NOT OPENED",""))),""))</f>
        <v/>
      </c>
      <c r="U177" s="25">
        <f>IF($A177="",0,IFERROR(MATCH($B177,'Ref_Calendar'!$A$2:$A$500,0),0))</f>
        <v/>
      </c>
      <c r="V177" s="25">
        <f>IF($A177="",0,IFERROR(SUMPRODUCT(MAX(($A$8:$A$307=$A177)*($P$8:$P$307="PASS")*($U$8:$U$307&lt;=$U177)*$U$8:$U$307)),0))</f>
        <v/>
      </c>
      <c r="W177" s="25">
        <f>IF($A177="","",IFERROR(INDEX('Ref_Crosswalk'!$E$2:$E$500,MATCH($A177,'Ref_Crosswalk'!$A$2:$A$500,0)),""))</f>
        <v/>
      </c>
      <c r="X177" s="25">
        <f>IF($A177="","",IFERROR(INDEX('Ref_Crosswalk'!$C$2:$C$500,MATCH($A177,'Ref_Crosswalk'!$A$2:$A$500,0)),""))</f>
        <v/>
      </c>
      <c r="Y177" s="25">
        <f>IF($A177="",0,IF(AND(OR('Out_Dashboard'!$C$5="",$W177='Out_Dashboard'!$C$5),OR('Out_Dashboard'!$C$6="",$X177='Out_Dashboard'!$C$6),OR('Out_Dashboard'!$C$7="",$B177='Out_Dashboard'!$C$7)),1,0))</f>
        <v/>
      </c>
      <c r="Z177" s="25">
        <f>IF(AND($A177&lt;&gt;"",$S177&lt;&gt;"",$Y177=1),SUMPRODUCT(($A$8:$A177&lt;&gt;"")*($S$8:$S177&lt;&gt;"")*($Y$8:$Y177=1)),"")</f>
        <v/>
      </c>
      <c r="AA177" s="25">
        <f>IF(AND($A177&lt;&gt;"",$T177&lt;&gt;"",$Y177=1),SUMPRODUCT(($A$8:$A177&lt;&gt;"")*($T$8:$T177&lt;&gt;"")*($Y$8:$Y177=1)),"")</f>
        <v/>
      </c>
    </row>
    <row r="178">
      <c r="A178" s="13" t="n"/>
      <c r="B178" s="13" t="n"/>
      <c r="C178" s="26" t="n"/>
      <c r="D178" s="26" t="n"/>
      <c r="E178" s="26" t="n"/>
      <c r="F178" s="13" t="n"/>
      <c r="G178" s="13" t="n"/>
      <c r="H178" s="13" t="n"/>
      <c r="I178" s="13" t="n"/>
      <c r="J178" s="23">
        <f>IF($A178="","",IFERROR(INDEX('Ref_Crosswalk'!$F$2:$F$500,MATCH($A178,'Ref_Crosswalk'!$A$2:$A$500,0)),"UNKNOWN"))</f>
        <v/>
      </c>
      <c r="K178" s="24">
        <f>IF($A178="","",IFERROR(INDEX('Ref_Tolerance'!$B$2:$B$9,MATCH($J178,'Ref_Tolerance'!$A$2:$A$9,0)),""))</f>
        <v/>
      </c>
      <c r="L178" s="23">
        <f>IF($A178="","",IFERROR(INDEX('Ref_Tolerance'!$D$2:$D$9,MATCH($J178,'Ref_Tolerance'!$A$2:$A$9,0)),""))</f>
        <v/>
      </c>
      <c r="M178" s="24">
        <f>IF($A178="","",IFERROR(ABS(N($D178))/N($C178),0))</f>
        <v/>
      </c>
      <c r="N178" s="24">
        <f>IF($A178="","",IFERROR(N($E178)/N($C178),0))</f>
        <v/>
      </c>
      <c r="O178" s="23">
        <f>IF($A178="",0,IFERROR(SUMPRODUCT(($A$8:$A$307=$A178)*($P$8:$P$307="FAIL")*($U$8:$U$307&gt;$V178)*($U$8:$U$307&lt;=$U178)),0))</f>
        <v/>
      </c>
      <c r="P178" s="23">
        <f>IF($A178="","",IFERROR(IF(NOT(ISNUMBER($K178)),"CHECK",IF($L178="MARGIN",IF($N178&lt;=$K178,"PASS","FAIL"),IF($M178&lt;=$K178,"PASS","FAIL"))),"CHECK"))</f>
        <v/>
      </c>
      <c r="Q178" s="23">
        <f>IF($A178="","",IFERROR(INDEX('Ref_Tolerance'!$E$2:$E$9,MATCH($J178,'Ref_Tolerance'!$A$2:$A$9,0)),""))</f>
        <v/>
      </c>
      <c r="R178" s="23">
        <f>IF($A178="","",IFERROR(IF($O178=0,"CLEAR",IF($O178=1,"MFR DUE - MANAGER",IF($O178=2,"MFR DUE - FSS/CC SIGNATURE REQUIRED","INVESTIGATION + REPORT OF SURVEY; MSG/CC NOTIFIED"))),""))</f>
        <v/>
      </c>
      <c r="S178" s="23">
        <f>IF($A178="","",IF($O178=2,"WATCH - ONE MORE MISS TRIGGERS INVESTIGATION",""))</f>
        <v/>
      </c>
      <c r="T178" s="23">
        <f>IF($A178="","",IFERROR(IF(AND($O178&gt;=1,$F178&lt;&gt;"Y"),"MFR NOT SUBMITTED",IF(AND($O178&gt;=2,$G178&lt;&gt;"Y"),"FSS/CC SIGNATURE MISSING",IF(AND($O178&gt;=3,$H178&lt;&gt;"Y"),"INVESTIGATION NOT OPENED",""))),""))</f>
        <v/>
      </c>
      <c r="U178" s="25">
        <f>IF($A178="",0,IFERROR(MATCH($B178,'Ref_Calendar'!$A$2:$A$500,0),0))</f>
        <v/>
      </c>
      <c r="V178" s="25">
        <f>IF($A178="",0,IFERROR(SUMPRODUCT(MAX(($A$8:$A$307=$A178)*($P$8:$P$307="PASS")*($U$8:$U$307&lt;=$U178)*$U$8:$U$307)),0))</f>
        <v/>
      </c>
      <c r="W178" s="25">
        <f>IF($A178="","",IFERROR(INDEX('Ref_Crosswalk'!$E$2:$E$500,MATCH($A178,'Ref_Crosswalk'!$A$2:$A$500,0)),""))</f>
        <v/>
      </c>
      <c r="X178" s="25">
        <f>IF($A178="","",IFERROR(INDEX('Ref_Crosswalk'!$C$2:$C$500,MATCH($A178,'Ref_Crosswalk'!$A$2:$A$500,0)),""))</f>
        <v/>
      </c>
      <c r="Y178" s="25">
        <f>IF($A178="",0,IF(AND(OR('Out_Dashboard'!$C$5="",$W178='Out_Dashboard'!$C$5),OR('Out_Dashboard'!$C$6="",$X178='Out_Dashboard'!$C$6),OR('Out_Dashboard'!$C$7="",$B178='Out_Dashboard'!$C$7)),1,0))</f>
        <v/>
      </c>
      <c r="Z178" s="25">
        <f>IF(AND($A178&lt;&gt;"",$S178&lt;&gt;"",$Y178=1),SUMPRODUCT(($A$8:$A178&lt;&gt;"")*($S$8:$S178&lt;&gt;"")*($Y$8:$Y178=1)),"")</f>
        <v/>
      </c>
      <c r="AA178" s="25">
        <f>IF(AND($A178&lt;&gt;"",$T178&lt;&gt;"",$Y178=1),SUMPRODUCT(($A$8:$A178&lt;&gt;"")*($T$8:$T178&lt;&gt;"")*($Y$8:$Y178=1)),"")</f>
        <v/>
      </c>
    </row>
    <row r="179">
      <c r="A179" s="13" t="n"/>
      <c r="B179" s="13" t="n"/>
      <c r="C179" s="26" t="n"/>
      <c r="D179" s="26" t="n"/>
      <c r="E179" s="26" t="n"/>
      <c r="F179" s="13" t="n"/>
      <c r="G179" s="13" t="n"/>
      <c r="H179" s="13" t="n"/>
      <c r="I179" s="13" t="n"/>
      <c r="J179" s="23">
        <f>IF($A179="","",IFERROR(INDEX('Ref_Crosswalk'!$F$2:$F$500,MATCH($A179,'Ref_Crosswalk'!$A$2:$A$500,0)),"UNKNOWN"))</f>
        <v/>
      </c>
      <c r="K179" s="24">
        <f>IF($A179="","",IFERROR(INDEX('Ref_Tolerance'!$B$2:$B$9,MATCH($J179,'Ref_Tolerance'!$A$2:$A$9,0)),""))</f>
        <v/>
      </c>
      <c r="L179" s="23">
        <f>IF($A179="","",IFERROR(INDEX('Ref_Tolerance'!$D$2:$D$9,MATCH($J179,'Ref_Tolerance'!$A$2:$A$9,0)),""))</f>
        <v/>
      </c>
      <c r="M179" s="24">
        <f>IF($A179="","",IFERROR(ABS(N($D179))/N($C179),0))</f>
        <v/>
      </c>
      <c r="N179" s="24">
        <f>IF($A179="","",IFERROR(N($E179)/N($C179),0))</f>
        <v/>
      </c>
      <c r="O179" s="23">
        <f>IF($A179="",0,IFERROR(SUMPRODUCT(($A$8:$A$307=$A179)*($P$8:$P$307="FAIL")*($U$8:$U$307&gt;$V179)*($U$8:$U$307&lt;=$U179)),0))</f>
        <v/>
      </c>
      <c r="P179" s="23">
        <f>IF($A179="","",IFERROR(IF(NOT(ISNUMBER($K179)),"CHECK",IF($L179="MARGIN",IF($N179&lt;=$K179,"PASS","FAIL"),IF($M179&lt;=$K179,"PASS","FAIL"))),"CHECK"))</f>
        <v/>
      </c>
      <c r="Q179" s="23">
        <f>IF($A179="","",IFERROR(INDEX('Ref_Tolerance'!$E$2:$E$9,MATCH($J179,'Ref_Tolerance'!$A$2:$A$9,0)),""))</f>
        <v/>
      </c>
      <c r="R179" s="23">
        <f>IF($A179="","",IFERROR(IF($O179=0,"CLEAR",IF($O179=1,"MFR DUE - MANAGER",IF($O179=2,"MFR DUE - FSS/CC SIGNATURE REQUIRED","INVESTIGATION + REPORT OF SURVEY; MSG/CC NOTIFIED"))),""))</f>
        <v/>
      </c>
      <c r="S179" s="23">
        <f>IF($A179="","",IF($O179=2,"WATCH - ONE MORE MISS TRIGGERS INVESTIGATION",""))</f>
        <v/>
      </c>
      <c r="T179" s="23">
        <f>IF($A179="","",IFERROR(IF(AND($O179&gt;=1,$F179&lt;&gt;"Y"),"MFR NOT SUBMITTED",IF(AND($O179&gt;=2,$G179&lt;&gt;"Y"),"FSS/CC SIGNATURE MISSING",IF(AND($O179&gt;=3,$H179&lt;&gt;"Y"),"INVESTIGATION NOT OPENED",""))),""))</f>
        <v/>
      </c>
      <c r="U179" s="25">
        <f>IF($A179="",0,IFERROR(MATCH($B179,'Ref_Calendar'!$A$2:$A$500,0),0))</f>
        <v/>
      </c>
      <c r="V179" s="25">
        <f>IF($A179="",0,IFERROR(SUMPRODUCT(MAX(($A$8:$A$307=$A179)*($P$8:$P$307="PASS")*($U$8:$U$307&lt;=$U179)*$U$8:$U$307)),0))</f>
        <v/>
      </c>
      <c r="W179" s="25">
        <f>IF($A179="","",IFERROR(INDEX('Ref_Crosswalk'!$E$2:$E$500,MATCH($A179,'Ref_Crosswalk'!$A$2:$A$500,0)),""))</f>
        <v/>
      </c>
      <c r="X179" s="25">
        <f>IF($A179="","",IFERROR(INDEX('Ref_Crosswalk'!$C$2:$C$500,MATCH($A179,'Ref_Crosswalk'!$A$2:$A$500,0)),""))</f>
        <v/>
      </c>
      <c r="Y179" s="25">
        <f>IF($A179="",0,IF(AND(OR('Out_Dashboard'!$C$5="",$W179='Out_Dashboard'!$C$5),OR('Out_Dashboard'!$C$6="",$X179='Out_Dashboard'!$C$6),OR('Out_Dashboard'!$C$7="",$B179='Out_Dashboard'!$C$7)),1,0))</f>
        <v/>
      </c>
      <c r="Z179" s="25">
        <f>IF(AND($A179&lt;&gt;"",$S179&lt;&gt;"",$Y179=1),SUMPRODUCT(($A$8:$A179&lt;&gt;"")*($S$8:$S179&lt;&gt;"")*($Y$8:$Y179=1)),"")</f>
        <v/>
      </c>
      <c r="AA179" s="25">
        <f>IF(AND($A179&lt;&gt;"",$T179&lt;&gt;"",$Y179=1),SUMPRODUCT(($A$8:$A179&lt;&gt;"")*($T$8:$T179&lt;&gt;"")*($Y$8:$Y179=1)),"")</f>
        <v/>
      </c>
    </row>
    <row r="180">
      <c r="A180" s="13" t="n"/>
      <c r="B180" s="13" t="n"/>
      <c r="C180" s="26" t="n"/>
      <c r="D180" s="26" t="n"/>
      <c r="E180" s="26" t="n"/>
      <c r="F180" s="13" t="n"/>
      <c r="G180" s="13" t="n"/>
      <c r="H180" s="13" t="n"/>
      <c r="I180" s="13" t="n"/>
      <c r="J180" s="23">
        <f>IF($A180="","",IFERROR(INDEX('Ref_Crosswalk'!$F$2:$F$500,MATCH($A180,'Ref_Crosswalk'!$A$2:$A$500,0)),"UNKNOWN"))</f>
        <v/>
      </c>
      <c r="K180" s="24">
        <f>IF($A180="","",IFERROR(INDEX('Ref_Tolerance'!$B$2:$B$9,MATCH($J180,'Ref_Tolerance'!$A$2:$A$9,0)),""))</f>
        <v/>
      </c>
      <c r="L180" s="23">
        <f>IF($A180="","",IFERROR(INDEX('Ref_Tolerance'!$D$2:$D$9,MATCH($J180,'Ref_Tolerance'!$A$2:$A$9,0)),""))</f>
        <v/>
      </c>
      <c r="M180" s="24">
        <f>IF($A180="","",IFERROR(ABS(N($D180))/N($C180),0))</f>
        <v/>
      </c>
      <c r="N180" s="24">
        <f>IF($A180="","",IFERROR(N($E180)/N($C180),0))</f>
        <v/>
      </c>
      <c r="O180" s="23">
        <f>IF($A180="",0,IFERROR(SUMPRODUCT(($A$8:$A$307=$A180)*($P$8:$P$307="FAIL")*($U$8:$U$307&gt;$V180)*($U$8:$U$307&lt;=$U180)),0))</f>
        <v/>
      </c>
      <c r="P180" s="23">
        <f>IF($A180="","",IFERROR(IF(NOT(ISNUMBER($K180)),"CHECK",IF($L180="MARGIN",IF($N180&lt;=$K180,"PASS","FAIL"),IF($M180&lt;=$K180,"PASS","FAIL"))),"CHECK"))</f>
        <v/>
      </c>
      <c r="Q180" s="23">
        <f>IF($A180="","",IFERROR(INDEX('Ref_Tolerance'!$E$2:$E$9,MATCH($J180,'Ref_Tolerance'!$A$2:$A$9,0)),""))</f>
        <v/>
      </c>
      <c r="R180" s="23">
        <f>IF($A180="","",IFERROR(IF($O180=0,"CLEAR",IF($O180=1,"MFR DUE - MANAGER",IF($O180=2,"MFR DUE - FSS/CC SIGNATURE REQUIRED","INVESTIGATION + REPORT OF SURVEY; MSG/CC NOTIFIED"))),""))</f>
        <v/>
      </c>
      <c r="S180" s="23">
        <f>IF($A180="","",IF($O180=2,"WATCH - ONE MORE MISS TRIGGERS INVESTIGATION",""))</f>
        <v/>
      </c>
      <c r="T180" s="23">
        <f>IF($A180="","",IFERROR(IF(AND($O180&gt;=1,$F180&lt;&gt;"Y"),"MFR NOT SUBMITTED",IF(AND($O180&gt;=2,$G180&lt;&gt;"Y"),"FSS/CC SIGNATURE MISSING",IF(AND($O180&gt;=3,$H180&lt;&gt;"Y"),"INVESTIGATION NOT OPENED",""))),""))</f>
        <v/>
      </c>
      <c r="U180" s="25">
        <f>IF($A180="",0,IFERROR(MATCH($B180,'Ref_Calendar'!$A$2:$A$500,0),0))</f>
        <v/>
      </c>
      <c r="V180" s="25">
        <f>IF($A180="",0,IFERROR(SUMPRODUCT(MAX(($A$8:$A$307=$A180)*($P$8:$P$307="PASS")*($U$8:$U$307&lt;=$U180)*$U$8:$U$307)),0))</f>
        <v/>
      </c>
      <c r="W180" s="25">
        <f>IF($A180="","",IFERROR(INDEX('Ref_Crosswalk'!$E$2:$E$500,MATCH($A180,'Ref_Crosswalk'!$A$2:$A$500,0)),""))</f>
        <v/>
      </c>
      <c r="X180" s="25">
        <f>IF($A180="","",IFERROR(INDEX('Ref_Crosswalk'!$C$2:$C$500,MATCH($A180,'Ref_Crosswalk'!$A$2:$A$500,0)),""))</f>
        <v/>
      </c>
      <c r="Y180" s="25">
        <f>IF($A180="",0,IF(AND(OR('Out_Dashboard'!$C$5="",$W180='Out_Dashboard'!$C$5),OR('Out_Dashboard'!$C$6="",$X180='Out_Dashboard'!$C$6),OR('Out_Dashboard'!$C$7="",$B180='Out_Dashboard'!$C$7)),1,0))</f>
        <v/>
      </c>
      <c r="Z180" s="25">
        <f>IF(AND($A180&lt;&gt;"",$S180&lt;&gt;"",$Y180=1),SUMPRODUCT(($A$8:$A180&lt;&gt;"")*($S$8:$S180&lt;&gt;"")*($Y$8:$Y180=1)),"")</f>
        <v/>
      </c>
      <c r="AA180" s="25">
        <f>IF(AND($A180&lt;&gt;"",$T180&lt;&gt;"",$Y180=1),SUMPRODUCT(($A$8:$A180&lt;&gt;"")*($T$8:$T180&lt;&gt;"")*($Y$8:$Y180=1)),"")</f>
        <v/>
      </c>
    </row>
    <row r="181">
      <c r="A181" s="13" t="n"/>
      <c r="B181" s="13" t="n"/>
      <c r="C181" s="26" t="n"/>
      <c r="D181" s="26" t="n"/>
      <c r="E181" s="26" t="n"/>
      <c r="F181" s="13" t="n"/>
      <c r="G181" s="13" t="n"/>
      <c r="H181" s="13" t="n"/>
      <c r="I181" s="13" t="n"/>
      <c r="J181" s="23">
        <f>IF($A181="","",IFERROR(INDEX('Ref_Crosswalk'!$F$2:$F$500,MATCH($A181,'Ref_Crosswalk'!$A$2:$A$500,0)),"UNKNOWN"))</f>
        <v/>
      </c>
      <c r="K181" s="24">
        <f>IF($A181="","",IFERROR(INDEX('Ref_Tolerance'!$B$2:$B$9,MATCH($J181,'Ref_Tolerance'!$A$2:$A$9,0)),""))</f>
        <v/>
      </c>
      <c r="L181" s="23">
        <f>IF($A181="","",IFERROR(INDEX('Ref_Tolerance'!$D$2:$D$9,MATCH($J181,'Ref_Tolerance'!$A$2:$A$9,0)),""))</f>
        <v/>
      </c>
      <c r="M181" s="24">
        <f>IF($A181="","",IFERROR(ABS(N($D181))/N($C181),0))</f>
        <v/>
      </c>
      <c r="N181" s="24">
        <f>IF($A181="","",IFERROR(N($E181)/N($C181),0))</f>
        <v/>
      </c>
      <c r="O181" s="23">
        <f>IF($A181="",0,IFERROR(SUMPRODUCT(($A$8:$A$307=$A181)*($P$8:$P$307="FAIL")*($U$8:$U$307&gt;$V181)*($U$8:$U$307&lt;=$U181)),0))</f>
        <v/>
      </c>
      <c r="P181" s="23">
        <f>IF($A181="","",IFERROR(IF(NOT(ISNUMBER($K181)),"CHECK",IF($L181="MARGIN",IF($N181&lt;=$K181,"PASS","FAIL"),IF($M181&lt;=$K181,"PASS","FAIL"))),"CHECK"))</f>
        <v/>
      </c>
      <c r="Q181" s="23">
        <f>IF($A181="","",IFERROR(INDEX('Ref_Tolerance'!$E$2:$E$9,MATCH($J181,'Ref_Tolerance'!$A$2:$A$9,0)),""))</f>
        <v/>
      </c>
      <c r="R181" s="23">
        <f>IF($A181="","",IFERROR(IF($O181=0,"CLEAR",IF($O181=1,"MFR DUE - MANAGER",IF($O181=2,"MFR DUE - FSS/CC SIGNATURE REQUIRED","INVESTIGATION + REPORT OF SURVEY; MSG/CC NOTIFIED"))),""))</f>
        <v/>
      </c>
      <c r="S181" s="23">
        <f>IF($A181="","",IF($O181=2,"WATCH - ONE MORE MISS TRIGGERS INVESTIGATION",""))</f>
        <v/>
      </c>
      <c r="T181" s="23">
        <f>IF($A181="","",IFERROR(IF(AND($O181&gt;=1,$F181&lt;&gt;"Y"),"MFR NOT SUBMITTED",IF(AND($O181&gt;=2,$G181&lt;&gt;"Y"),"FSS/CC SIGNATURE MISSING",IF(AND($O181&gt;=3,$H181&lt;&gt;"Y"),"INVESTIGATION NOT OPENED",""))),""))</f>
        <v/>
      </c>
      <c r="U181" s="25">
        <f>IF($A181="",0,IFERROR(MATCH($B181,'Ref_Calendar'!$A$2:$A$500,0),0))</f>
        <v/>
      </c>
      <c r="V181" s="25">
        <f>IF($A181="",0,IFERROR(SUMPRODUCT(MAX(($A$8:$A$307=$A181)*($P$8:$P$307="PASS")*($U$8:$U$307&lt;=$U181)*$U$8:$U$307)),0))</f>
        <v/>
      </c>
      <c r="W181" s="25">
        <f>IF($A181="","",IFERROR(INDEX('Ref_Crosswalk'!$E$2:$E$500,MATCH($A181,'Ref_Crosswalk'!$A$2:$A$500,0)),""))</f>
        <v/>
      </c>
      <c r="X181" s="25">
        <f>IF($A181="","",IFERROR(INDEX('Ref_Crosswalk'!$C$2:$C$500,MATCH($A181,'Ref_Crosswalk'!$A$2:$A$500,0)),""))</f>
        <v/>
      </c>
      <c r="Y181" s="25">
        <f>IF($A181="",0,IF(AND(OR('Out_Dashboard'!$C$5="",$W181='Out_Dashboard'!$C$5),OR('Out_Dashboard'!$C$6="",$X181='Out_Dashboard'!$C$6),OR('Out_Dashboard'!$C$7="",$B181='Out_Dashboard'!$C$7)),1,0))</f>
        <v/>
      </c>
      <c r="Z181" s="25">
        <f>IF(AND($A181&lt;&gt;"",$S181&lt;&gt;"",$Y181=1),SUMPRODUCT(($A$8:$A181&lt;&gt;"")*($S$8:$S181&lt;&gt;"")*($Y$8:$Y181=1)),"")</f>
        <v/>
      </c>
      <c r="AA181" s="25">
        <f>IF(AND($A181&lt;&gt;"",$T181&lt;&gt;"",$Y181=1),SUMPRODUCT(($A$8:$A181&lt;&gt;"")*($T$8:$T181&lt;&gt;"")*($Y$8:$Y181=1)),"")</f>
        <v/>
      </c>
    </row>
    <row r="182">
      <c r="A182" s="13" t="n"/>
      <c r="B182" s="13" t="n"/>
      <c r="C182" s="26" t="n"/>
      <c r="D182" s="26" t="n"/>
      <c r="E182" s="26" t="n"/>
      <c r="F182" s="13" t="n"/>
      <c r="G182" s="13" t="n"/>
      <c r="H182" s="13" t="n"/>
      <c r="I182" s="13" t="n"/>
      <c r="J182" s="23">
        <f>IF($A182="","",IFERROR(INDEX('Ref_Crosswalk'!$F$2:$F$500,MATCH($A182,'Ref_Crosswalk'!$A$2:$A$500,0)),"UNKNOWN"))</f>
        <v/>
      </c>
      <c r="K182" s="24">
        <f>IF($A182="","",IFERROR(INDEX('Ref_Tolerance'!$B$2:$B$9,MATCH($J182,'Ref_Tolerance'!$A$2:$A$9,0)),""))</f>
        <v/>
      </c>
      <c r="L182" s="23">
        <f>IF($A182="","",IFERROR(INDEX('Ref_Tolerance'!$D$2:$D$9,MATCH($J182,'Ref_Tolerance'!$A$2:$A$9,0)),""))</f>
        <v/>
      </c>
      <c r="M182" s="24">
        <f>IF($A182="","",IFERROR(ABS(N($D182))/N($C182),0))</f>
        <v/>
      </c>
      <c r="N182" s="24">
        <f>IF($A182="","",IFERROR(N($E182)/N($C182),0))</f>
        <v/>
      </c>
      <c r="O182" s="23">
        <f>IF($A182="",0,IFERROR(SUMPRODUCT(($A$8:$A$307=$A182)*($P$8:$P$307="FAIL")*($U$8:$U$307&gt;$V182)*($U$8:$U$307&lt;=$U182)),0))</f>
        <v/>
      </c>
      <c r="P182" s="23">
        <f>IF($A182="","",IFERROR(IF(NOT(ISNUMBER($K182)),"CHECK",IF($L182="MARGIN",IF($N182&lt;=$K182,"PASS","FAIL"),IF($M182&lt;=$K182,"PASS","FAIL"))),"CHECK"))</f>
        <v/>
      </c>
      <c r="Q182" s="23">
        <f>IF($A182="","",IFERROR(INDEX('Ref_Tolerance'!$E$2:$E$9,MATCH($J182,'Ref_Tolerance'!$A$2:$A$9,0)),""))</f>
        <v/>
      </c>
      <c r="R182" s="23">
        <f>IF($A182="","",IFERROR(IF($O182=0,"CLEAR",IF($O182=1,"MFR DUE - MANAGER",IF($O182=2,"MFR DUE - FSS/CC SIGNATURE REQUIRED","INVESTIGATION + REPORT OF SURVEY; MSG/CC NOTIFIED"))),""))</f>
        <v/>
      </c>
      <c r="S182" s="23">
        <f>IF($A182="","",IF($O182=2,"WATCH - ONE MORE MISS TRIGGERS INVESTIGATION",""))</f>
        <v/>
      </c>
      <c r="T182" s="23">
        <f>IF($A182="","",IFERROR(IF(AND($O182&gt;=1,$F182&lt;&gt;"Y"),"MFR NOT SUBMITTED",IF(AND($O182&gt;=2,$G182&lt;&gt;"Y"),"FSS/CC SIGNATURE MISSING",IF(AND($O182&gt;=3,$H182&lt;&gt;"Y"),"INVESTIGATION NOT OPENED",""))),""))</f>
        <v/>
      </c>
      <c r="U182" s="25">
        <f>IF($A182="",0,IFERROR(MATCH($B182,'Ref_Calendar'!$A$2:$A$500,0),0))</f>
        <v/>
      </c>
      <c r="V182" s="25">
        <f>IF($A182="",0,IFERROR(SUMPRODUCT(MAX(($A$8:$A$307=$A182)*($P$8:$P$307="PASS")*($U$8:$U$307&lt;=$U182)*$U$8:$U$307)),0))</f>
        <v/>
      </c>
      <c r="W182" s="25">
        <f>IF($A182="","",IFERROR(INDEX('Ref_Crosswalk'!$E$2:$E$500,MATCH($A182,'Ref_Crosswalk'!$A$2:$A$500,0)),""))</f>
        <v/>
      </c>
      <c r="X182" s="25">
        <f>IF($A182="","",IFERROR(INDEX('Ref_Crosswalk'!$C$2:$C$500,MATCH($A182,'Ref_Crosswalk'!$A$2:$A$500,0)),""))</f>
        <v/>
      </c>
      <c r="Y182" s="25">
        <f>IF($A182="",0,IF(AND(OR('Out_Dashboard'!$C$5="",$W182='Out_Dashboard'!$C$5),OR('Out_Dashboard'!$C$6="",$X182='Out_Dashboard'!$C$6),OR('Out_Dashboard'!$C$7="",$B182='Out_Dashboard'!$C$7)),1,0))</f>
        <v/>
      </c>
      <c r="Z182" s="25">
        <f>IF(AND($A182&lt;&gt;"",$S182&lt;&gt;"",$Y182=1),SUMPRODUCT(($A$8:$A182&lt;&gt;"")*($S$8:$S182&lt;&gt;"")*($Y$8:$Y182=1)),"")</f>
        <v/>
      </c>
      <c r="AA182" s="25">
        <f>IF(AND($A182&lt;&gt;"",$T182&lt;&gt;"",$Y182=1),SUMPRODUCT(($A$8:$A182&lt;&gt;"")*($T$8:$T182&lt;&gt;"")*($Y$8:$Y182=1)),"")</f>
        <v/>
      </c>
    </row>
    <row r="183">
      <c r="A183" s="13" t="n"/>
      <c r="B183" s="13" t="n"/>
      <c r="C183" s="26" t="n"/>
      <c r="D183" s="26" t="n"/>
      <c r="E183" s="26" t="n"/>
      <c r="F183" s="13" t="n"/>
      <c r="G183" s="13" t="n"/>
      <c r="H183" s="13" t="n"/>
      <c r="I183" s="13" t="n"/>
      <c r="J183" s="23">
        <f>IF($A183="","",IFERROR(INDEX('Ref_Crosswalk'!$F$2:$F$500,MATCH($A183,'Ref_Crosswalk'!$A$2:$A$500,0)),"UNKNOWN"))</f>
        <v/>
      </c>
      <c r="K183" s="24">
        <f>IF($A183="","",IFERROR(INDEX('Ref_Tolerance'!$B$2:$B$9,MATCH($J183,'Ref_Tolerance'!$A$2:$A$9,0)),""))</f>
        <v/>
      </c>
      <c r="L183" s="23">
        <f>IF($A183="","",IFERROR(INDEX('Ref_Tolerance'!$D$2:$D$9,MATCH($J183,'Ref_Tolerance'!$A$2:$A$9,0)),""))</f>
        <v/>
      </c>
      <c r="M183" s="24">
        <f>IF($A183="","",IFERROR(ABS(N($D183))/N($C183),0))</f>
        <v/>
      </c>
      <c r="N183" s="24">
        <f>IF($A183="","",IFERROR(N($E183)/N($C183),0))</f>
        <v/>
      </c>
      <c r="O183" s="23">
        <f>IF($A183="",0,IFERROR(SUMPRODUCT(($A$8:$A$307=$A183)*($P$8:$P$307="FAIL")*($U$8:$U$307&gt;$V183)*($U$8:$U$307&lt;=$U183)),0))</f>
        <v/>
      </c>
      <c r="P183" s="23">
        <f>IF($A183="","",IFERROR(IF(NOT(ISNUMBER($K183)),"CHECK",IF($L183="MARGIN",IF($N183&lt;=$K183,"PASS","FAIL"),IF($M183&lt;=$K183,"PASS","FAIL"))),"CHECK"))</f>
        <v/>
      </c>
      <c r="Q183" s="23">
        <f>IF($A183="","",IFERROR(INDEX('Ref_Tolerance'!$E$2:$E$9,MATCH($J183,'Ref_Tolerance'!$A$2:$A$9,0)),""))</f>
        <v/>
      </c>
      <c r="R183" s="23">
        <f>IF($A183="","",IFERROR(IF($O183=0,"CLEAR",IF($O183=1,"MFR DUE - MANAGER",IF($O183=2,"MFR DUE - FSS/CC SIGNATURE REQUIRED","INVESTIGATION + REPORT OF SURVEY; MSG/CC NOTIFIED"))),""))</f>
        <v/>
      </c>
      <c r="S183" s="23">
        <f>IF($A183="","",IF($O183=2,"WATCH - ONE MORE MISS TRIGGERS INVESTIGATION",""))</f>
        <v/>
      </c>
      <c r="T183" s="23">
        <f>IF($A183="","",IFERROR(IF(AND($O183&gt;=1,$F183&lt;&gt;"Y"),"MFR NOT SUBMITTED",IF(AND($O183&gt;=2,$G183&lt;&gt;"Y"),"FSS/CC SIGNATURE MISSING",IF(AND($O183&gt;=3,$H183&lt;&gt;"Y"),"INVESTIGATION NOT OPENED",""))),""))</f>
        <v/>
      </c>
      <c r="U183" s="25">
        <f>IF($A183="",0,IFERROR(MATCH($B183,'Ref_Calendar'!$A$2:$A$500,0),0))</f>
        <v/>
      </c>
      <c r="V183" s="25">
        <f>IF($A183="",0,IFERROR(SUMPRODUCT(MAX(($A$8:$A$307=$A183)*($P$8:$P$307="PASS")*($U$8:$U$307&lt;=$U183)*$U$8:$U$307)),0))</f>
        <v/>
      </c>
      <c r="W183" s="25">
        <f>IF($A183="","",IFERROR(INDEX('Ref_Crosswalk'!$E$2:$E$500,MATCH($A183,'Ref_Crosswalk'!$A$2:$A$500,0)),""))</f>
        <v/>
      </c>
      <c r="X183" s="25">
        <f>IF($A183="","",IFERROR(INDEX('Ref_Crosswalk'!$C$2:$C$500,MATCH($A183,'Ref_Crosswalk'!$A$2:$A$500,0)),""))</f>
        <v/>
      </c>
      <c r="Y183" s="25">
        <f>IF($A183="",0,IF(AND(OR('Out_Dashboard'!$C$5="",$W183='Out_Dashboard'!$C$5),OR('Out_Dashboard'!$C$6="",$X183='Out_Dashboard'!$C$6),OR('Out_Dashboard'!$C$7="",$B183='Out_Dashboard'!$C$7)),1,0))</f>
        <v/>
      </c>
      <c r="Z183" s="25">
        <f>IF(AND($A183&lt;&gt;"",$S183&lt;&gt;"",$Y183=1),SUMPRODUCT(($A$8:$A183&lt;&gt;"")*($S$8:$S183&lt;&gt;"")*($Y$8:$Y183=1)),"")</f>
        <v/>
      </c>
      <c r="AA183" s="25">
        <f>IF(AND($A183&lt;&gt;"",$T183&lt;&gt;"",$Y183=1),SUMPRODUCT(($A$8:$A183&lt;&gt;"")*($T$8:$T183&lt;&gt;"")*($Y$8:$Y183=1)),"")</f>
        <v/>
      </c>
    </row>
    <row r="184">
      <c r="A184" s="13" t="n"/>
      <c r="B184" s="13" t="n"/>
      <c r="C184" s="26" t="n"/>
      <c r="D184" s="26" t="n"/>
      <c r="E184" s="26" t="n"/>
      <c r="F184" s="13" t="n"/>
      <c r="G184" s="13" t="n"/>
      <c r="H184" s="13" t="n"/>
      <c r="I184" s="13" t="n"/>
      <c r="J184" s="23">
        <f>IF($A184="","",IFERROR(INDEX('Ref_Crosswalk'!$F$2:$F$500,MATCH($A184,'Ref_Crosswalk'!$A$2:$A$500,0)),"UNKNOWN"))</f>
        <v/>
      </c>
      <c r="K184" s="24">
        <f>IF($A184="","",IFERROR(INDEX('Ref_Tolerance'!$B$2:$B$9,MATCH($J184,'Ref_Tolerance'!$A$2:$A$9,0)),""))</f>
        <v/>
      </c>
      <c r="L184" s="23">
        <f>IF($A184="","",IFERROR(INDEX('Ref_Tolerance'!$D$2:$D$9,MATCH($J184,'Ref_Tolerance'!$A$2:$A$9,0)),""))</f>
        <v/>
      </c>
      <c r="M184" s="24">
        <f>IF($A184="","",IFERROR(ABS(N($D184))/N($C184),0))</f>
        <v/>
      </c>
      <c r="N184" s="24">
        <f>IF($A184="","",IFERROR(N($E184)/N($C184),0))</f>
        <v/>
      </c>
      <c r="O184" s="23">
        <f>IF($A184="",0,IFERROR(SUMPRODUCT(($A$8:$A$307=$A184)*($P$8:$P$307="FAIL")*($U$8:$U$307&gt;$V184)*($U$8:$U$307&lt;=$U184)),0))</f>
        <v/>
      </c>
      <c r="P184" s="23">
        <f>IF($A184="","",IFERROR(IF(NOT(ISNUMBER($K184)),"CHECK",IF($L184="MARGIN",IF($N184&lt;=$K184,"PASS","FAIL"),IF($M184&lt;=$K184,"PASS","FAIL"))),"CHECK"))</f>
        <v/>
      </c>
      <c r="Q184" s="23">
        <f>IF($A184="","",IFERROR(INDEX('Ref_Tolerance'!$E$2:$E$9,MATCH($J184,'Ref_Tolerance'!$A$2:$A$9,0)),""))</f>
        <v/>
      </c>
      <c r="R184" s="23">
        <f>IF($A184="","",IFERROR(IF($O184=0,"CLEAR",IF($O184=1,"MFR DUE - MANAGER",IF($O184=2,"MFR DUE - FSS/CC SIGNATURE REQUIRED","INVESTIGATION + REPORT OF SURVEY; MSG/CC NOTIFIED"))),""))</f>
        <v/>
      </c>
      <c r="S184" s="23">
        <f>IF($A184="","",IF($O184=2,"WATCH - ONE MORE MISS TRIGGERS INVESTIGATION",""))</f>
        <v/>
      </c>
      <c r="T184" s="23">
        <f>IF($A184="","",IFERROR(IF(AND($O184&gt;=1,$F184&lt;&gt;"Y"),"MFR NOT SUBMITTED",IF(AND($O184&gt;=2,$G184&lt;&gt;"Y"),"FSS/CC SIGNATURE MISSING",IF(AND($O184&gt;=3,$H184&lt;&gt;"Y"),"INVESTIGATION NOT OPENED",""))),""))</f>
        <v/>
      </c>
      <c r="U184" s="25">
        <f>IF($A184="",0,IFERROR(MATCH($B184,'Ref_Calendar'!$A$2:$A$500,0),0))</f>
        <v/>
      </c>
      <c r="V184" s="25">
        <f>IF($A184="",0,IFERROR(SUMPRODUCT(MAX(($A$8:$A$307=$A184)*($P$8:$P$307="PASS")*($U$8:$U$307&lt;=$U184)*$U$8:$U$307)),0))</f>
        <v/>
      </c>
      <c r="W184" s="25">
        <f>IF($A184="","",IFERROR(INDEX('Ref_Crosswalk'!$E$2:$E$500,MATCH($A184,'Ref_Crosswalk'!$A$2:$A$500,0)),""))</f>
        <v/>
      </c>
      <c r="X184" s="25">
        <f>IF($A184="","",IFERROR(INDEX('Ref_Crosswalk'!$C$2:$C$500,MATCH($A184,'Ref_Crosswalk'!$A$2:$A$500,0)),""))</f>
        <v/>
      </c>
      <c r="Y184" s="25">
        <f>IF($A184="",0,IF(AND(OR('Out_Dashboard'!$C$5="",$W184='Out_Dashboard'!$C$5),OR('Out_Dashboard'!$C$6="",$X184='Out_Dashboard'!$C$6),OR('Out_Dashboard'!$C$7="",$B184='Out_Dashboard'!$C$7)),1,0))</f>
        <v/>
      </c>
      <c r="Z184" s="25">
        <f>IF(AND($A184&lt;&gt;"",$S184&lt;&gt;"",$Y184=1),SUMPRODUCT(($A$8:$A184&lt;&gt;"")*($S$8:$S184&lt;&gt;"")*($Y$8:$Y184=1)),"")</f>
        <v/>
      </c>
      <c r="AA184" s="25">
        <f>IF(AND($A184&lt;&gt;"",$T184&lt;&gt;"",$Y184=1),SUMPRODUCT(($A$8:$A184&lt;&gt;"")*($T$8:$T184&lt;&gt;"")*($Y$8:$Y184=1)),"")</f>
        <v/>
      </c>
    </row>
    <row r="185">
      <c r="A185" s="13" t="n"/>
      <c r="B185" s="13" t="n"/>
      <c r="C185" s="26" t="n"/>
      <c r="D185" s="26" t="n"/>
      <c r="E185" s="26" t="n"/>
      <c r="F185" s="13" t="n"/>
      <c r="G185" s="13" t="n"/>
      <c r="H185" s="13" t="n"/>
      <c r="I185" s="13" t="n"/>
      <c r="J185" s="23">
        <f>IF($A185="","",IFERROR(INDEX('Ref_Crosswalk'!$F$2:$F$500,MATCH($A185,'Ref_Crosswalk'!$A$2:$A$500,0)),"UNKNOWN"))</f>
        <v/>
      </c>
      <c r="K185" s="24">
        <f>IF($A185="","",IFERROR(INDEX('Ref_Tolerance'!$B$2:$B$9,MATCH($J185,'Ref_Tolerance'!$A$2:$A$9,0)),""))</f>
        <v/>
      </c>
      <c r="L185" s="23">
        <f>IF($A185="","",IFERROR(INDEX('Ref_Tolerance'!$D$2:$D$9,MATCH($J185,'Ref_Tolerance'!$A$2:$A$9,0)),""))</f>
        <v/>
      </c>
      <c r="M185" s="24">
        <f>IF($A185="","",IFERROR(ABS(N($D185))/N($C185),0))</f>
        <v/>
      </c>
      <c r="N185" s="24">
        <f>IF($A185="","",IFERROR(N($E185)/N($C185),0))</f>
        <v/>
      </c>
      <c r="O185" s="23">
        <f>IF($A185="",0,IFERROR(SUMPRODUCT(($A$8:$A$307=$A185)*($P$8:$P$307="FAIL")*($U$8:$U$307&gt;$V185)*($U$8:$U$307&lt;=$U185)),0))</f>
        <v/>
      </c>
      <c r="P185" s="23">
        <f>IF($A185="","",IFERROR(IF(NOT(ISNUMBER($K185)),"CHECK",IF($L185="MARGIN",IF($N185&lt;=$K185,"PASS","FAIL"),IF($M185&lt;=$K185,"PASS","FAIL"))),"CHECK"))</f>
        <v/>
      </c>
      <c r="Q185" s="23">
        <f>IF($A185="","",IFERROR(INDEX('Ref_Tolerance'!$E$2:$E$9,MATCH($J185,'Ref_Tolerance'!$A$2:$A$9,0)),""))</f>
        <v/>
      </c>
      <c r="R185" s="23">
        <f>IF($A185="","",IFERROR(IF($O185=0,"CLEAR",IF($O185=1,"MFR DUE - MANAGER",IF($O185=2,"MFR DUE - FSS/CC SIGNATURE REQUIRED","INVESTIGATION + REPORT OF SURVEY; MSG/CC NOTIFIED"))),""))</f>
        <v/>
      </c>
      <c r="S185" s="23">
        <f>IF($A185="","",IF($O185=2,"WATCH - ONE MORE MISS TRIGGERS INVESTIGATION",""))</f>
        <v/>
      </c>
      <c r="T185" s="23">
        <f>IF($A185="","",IFERROR(IF(AND($O185&gt;=1,$F185&lt;&gt;"Y"),"MFR NOT SUBMITTED",IF(AND($O185&gt;=2,$G185&lt;&gt;"Y"),"FSS/CC SIGNATURE MISSING",IF(AND($O185&gt;=3,$H185&lt;&gt;"Y"),"INVESTIGATION NOT OPENED",""))),""))</f>
        <v/>
      </c>
      <c r="U185" s="25">
        <f>IF($A185="",0,IFERROR(MATCH($B185,'Ref_Calendar'!$A$2:$A$500,0),0))</f>
        <v/>
      </c>
      <c r="V185" s="25">
        <f>IF($A185="",0,IFERROR(SUMPRODUCT(MAX(($A$8:$A$307=$A185)*($P$8:$P$307="PASS")*($U$8:$U$307&lt;=$U185)*$U$8:$U$307)),0))</f>
        <v/>
      </c>
      <c r="W185" s="25">
        <f>IF($A185="","",IFERROR(INDEX('Ref_Crosswalk'!$E$2:$E$500,MATCH($A185,'Ref_Crosswalk'!$A$2:$A$500,0)),""))</f>
        <v/>
      </c>
      <c r="X185" s="25">
        <f>IF($A185="","",IFERROR(INDEX('Ref_Crosswalk'!$C$2:$C$500,MATCH($A185,'Ref_Crosswalk'!$A$2:$A$500,0)),""))</f>
        <v/>
      </c>
      <c r="Y185" s="25">
        <f>IF($A185="",0,IF(AND(OR('Out_Dashboard'!$C$5="",$W185='Out_Dashboard'!$C$5),OR('Out_Dashboard'!$C$6="",$X185='Out_Dashboard'!$C$6),OR('Out_Dashboard'!$C$7="",$B185='Out_Dashboard'!$C$7)),1,0))</f>
        <v/>
      </c>
      <c r="Z185" s="25">
        <f>IF(AND($A185&lt;&gt;"",$S185&lt;&gt;"",$Y185=1),SUMPRODUCT(($A$8:$A185&lt;&gt;"")*($S$8:$S185&lt;&gt;"")*($Y$8:$Y185=1)),"")</f>
        <v/>
      </c>
      <c r="AA185" s="25">
        <f>IF(AND($A185&lt;&gt;"",$T185&lt;&gt;"",$Y185=1),SUMPRODUCT(($A$8:$A185&lt;&gt;"")*($T$8:$T185&lt;&gt;"")*($Y$8:$Y185=1)),"")</f>
        <v/>
      </c>
    </row>
    <row r="186">
      <c r="A186" s="13" t="n"/>
      <c r="B186" s="13" t="n"/>
      <c r="C186" s="26" t="n"/>
      <c r="D186" s="26" t="n"/>
      <c r="E186" s="26" t="n"/>
      <c r="F186" s="13" t="n"/>
      <c r="G186" s="13" t="n"/>
      <c r="H186" s="13" t="n"/>
      <c r="I186" s="13" t="n"/>
      <c r="J186" s="23">
        <f>IF($A186="","",IFERROR(INDEX('Ref_Crosswalk'!$F$2:$F$500,MATCH($A186,'Ref_Crosswalk'!$A$2:$A$500,0)),"UNKNOWN"))</f>
        <v/>
      </c>
      <c r="K186" s="24">
        <f>IF($A186="","",IFERROR(INDEX('Ref_Tolerance'!$B$2:$B$9,MATCH($J186,'Ref_Tolerance'!$A$2:$A$9,0)),""))</f>
        <v/>
      </c>
      <c r="L186" s="23">
        <f>IF($A186="","",IFERROR(INDEX('Ref_Tolerance'!$D$2:$D$9,MATCH($J186,'Ref_Tolerance'!$A$2:$A$9,0)),""))</f>
        <v/>
      </c>
      <c r="M186" s="24">
        <f>IF($A186="","",IFERROR(ABS(N($D186))/N($C186),0))</f>
        <v/>
      </c>
      <c r="N186" s="24">
        <f>IF($A186="","",IFERROR(N($E186)/N($C186),0))</f>
        <v/>
      </c>
      <c r="O186" s="23">
        <f>IF($A186="",0,IFERROR(SUMPRODUCT(($A$8:$A$307=$A186)*($P$8:$P$307="FAIL")*($U$8:$U$307&gt;$V186)*($U$8:$U$307&lt;=$U186)),0))</f>
        <v/>
      </c>
      <c r="P186" s="23">
        <f>IF($A186="","",IFERROR(IF(NOT(ISNUMBER($K186)),"CHECK",IF($L186="MARGIN",IF($N186&lt;=$K186,"PASS","FAIL"),IF($M186&lt;=$K186,"PASS","FAIL"))),"CHECK"))</f>
        <v/>
      </c>
      <c r="Q186" s="23">
        <f>IF($A186="","",IFERROR(INDEX('Ref_Tolerance'!$E$2:$E$9,MATCH($J186,'Ref_Tolerance'!$A$2:$A$9,0)),""))</f>
        <v/>
      </c>
      <c r="R186" s="23">
        <f>IF($A186="","",IFERROR(IF($O186=0,"CLEAR",IF($O186=1,"MFR DUE - MANAGER",IF($O186=2,"MFR DUE - FSS/CC SIGNATURE REQUIRED","INVESTIGATION + REPORT OF SURVEY; MSG/CC NOTIFIED"))),""))</f>
        <v/>
      </c>
      <c r="S186" s="23">
        <f>IF($A186="","",IF($O186=2,"WATCH - ONE MORE MISS TRIGGERS INVESTIGATION",""))</f>
        <v/>
      </c>
      <c r="T186" s="23">
        <f>IF($A186="","",IFERROR(IF(AND($O186&gt;=1,$F186&lt;&gt;"Y"),"MFR NOT SUBMITTED",IF(AND($O186&gt;=2,$G186&lt;&gt;"Y"),"FSS/CC SIGNATURE MISSING",IF(AND($O186&gt;=3,$H186&lt;&gt;"Y"),"INVESTIGATION NOT OPENED",""))),""))</f>
        <v/>
      </c>
      <c r="U186" s="25">
        <f>IF($A186="",0,IFERROR(MATCH($B186,'Ref_Calendar'!$A$2:$A$500,0),0))</f>
        <v/>
      </c>
      <c r="V186" s="25">
        <f>IF($A186="",0,IFERROR(SUMPRODUCT(MAX(($A$8:$A$307=$A186)*($P$8:$P$307="PASS")*($U$8:$U$307&lt;=$U186)*$U$8:$U$307)),0))</f>
        <v/>
      </c>
      <c r="W186" s="25">
        <f>IF($A186="","",IFERROR(INDEX('Ref_Crosswalk'!$E$2:$E$500,MATCH($A186,'Ref_Crosswalk'!$A$2:$A$500,0)),""))</f>
        <v/>
      </c>
      <c r="X186" s="25">
        <f>IF($A186="","",IFERROR(INDEX('Ref_Crosswalk'!$C$2:$C$500,MATCH($A186,'Ref_Crosswalk'!$A$2:$A$500,0)),""))</f>
        <v/>
      </c>
      <c r="Y186" s="25">
        <f>IF($A186="",0,IF(AND(OR('Out_Dashboard'!$C$5="",$W186='Out_Dashboard'!$C$5),OR('Out_Dashboard'!$C$6="",$X186='Out_Dashboard'!$C$6),OR('Out_Dashboard'!$C$7="",$B186='Out_Dashboard'!$C$7)),1,0))</f>
        <v/>
      </c>
      <c r="Z186" s="25">
        <f>IF(AND($A186&lt;&gt;"",$S186&lt;&gt;"",$Y186=1),SUMPRODUCT(($A$8:$A186&lt;&gt;"")*($S$8:$S186&lt;&gt;"")*($Y$8:$Y186=1)),"")</f>
        <v/>
      </c>
      <c r="AA186" s="25">
        <f>IF(AND($A186&lt;&gt;"",$T186&lt;&gt;"",$Y186=1),SUMPRODUCT(($A$8:$A186&lt;&gt;"")*($T$8:$T186&lt;&gt;"")*($Y$8:$Y186=1)),"")</f>
        <v/>
      </c>
    </row>
    <row r="187">
      <c r="A187" s="13" t="n"/>
      <c r="B187" s="13" t="n"/>
      <c r="C187" s="26" t="n"/>
      <c r="D187" s="26" t="n"/>
      <c r="E187" s="26" t="n"/>
      <c r="F187" s="13" t="n"/>
      <c r="G187" s="13" t="n"/>
      <c r="H187" s="13" t="n"/>
      <c r="I187" s="13" t="n"/>
      <c r="J187" s="23">
        <f>IF($A187="","",IFERROR(INDEX('Ref_Crosswalk'!$F$2:$F$500,MATCH($A187,'Ref_Crosswalk'!$A$2:$A$500,0)),"UNKNOWN"))</f>
        <v/>
      </c>
      <c r="K187" s="24">
        <f>IF($A187="","",IFERROR(INDEX('Ref_Tolerance'!$B$2:$B$9,MATCH($J187,'Ref_Tolerance'!$A$2:$A$9,0)),""))</f>
        <v/>
      </c>
      <c r="L187" s="23">
        <f>IF($A187="","",IFERROR(INDEX('Ref_Tolerance'!$D$2:$D$9,MATCH($J187,'Ref_Tolerance'!$A$2:$A$9,0)),""))</f>
        <v/>
      </c>
      <c r="M187" s="24">
        <f>IF($A187="","",IFERROR(ABS(N($D187))/N($C187),0))</f>
        <v/>
      </c>
      <c r="N187" s="24">
        <f>IF($A187="","",IFERROR(N($E187)/N($C187),0))</f>
        <v/>
      </c>
      <c r="O187" s="23">
        <f>IF($A187="",0,IFERROR(SUMPRODUCT(($A$8:$A$307=$A187)*($P$8:$P$307="FAIL")*($U$8:$U$307&gt;$V187)*($U$8:$U$307&lt;=$U187)),0))</f>
        <v/>
      </c>
      <c r="P187" s="23">
        <f>IF($A187="","",IFERROR(IF(NOT(ISNUMBER($K187)),"CHECK",IF($L187="MARGIN",IF($N187&lt;=$K187,"PASS","FAIL"),IF($M187&lt;=$K187,"PASS","FAIL"))),"CHECK"))</f>
        <v/>
      </c>
      <c r="Q187" s="23">
        <f>IF($A187="","",IFERROR(INDEX('Ref_Tolerance'!$E$2:$E$9,MATCH($J187,'Ref_Tolerance'!$A$2:$A$9,0)),""))</f>
        <v/>
      </c>
      <c r="R187" s="23">
        <f>IF($A187="","",IFERROR(IF($O187=0,"CLEAR",IF($O187=1,"MFR DUE - MANAGER",IF($O187=2,"MFR DUE - FSS/CC SIGNATURE REQUIRED","INVESTIGATION + REPORT OF SURVEY; MSG/CC NOTIFIED"))),""))</f>
        <v/>
      </c>
      <c r="S187" s="23">
        <f>IF($A187="","",IF($O187=2,"WATCH - ONE MORE MISS TRIGGERS INVESTIGATION",""))</f>
        <v/>
      </c>
      <c r="T187" s="23">
        <f>IF($A187="","",IFERROR(IF(AND($O187&gt;=1,$F187&lt;&gt;"Y"),"MFR NOT SUBMITTED",IF(AND($O187&gt;=2,$G187&lt;&gt;"Y"),"FSS/CC SIGNATURE MISSING",IF(AND($O187&gt;=3,$H187&lt;&gt;"Y"),"INVESTIGATION NOT OPENED",""))),""))</f>
        <v/>
      </c>
      <c r="U187" s="25">
        <f>IF($A187="",0,IFERROR(MATCH($B187,'Ref_Calendar'!$A$2:$A$500,0),0))</f>
        <v/>
      </c>
      <c r="V187" s="25">
        <f>IF($A187="",0,IFERROR(SUMPRODUCT(MAX(($A$8:$A$307=$A187)*($P$8:$P$307="PASS")*($U$8:$U$307&lt;=$U187)*$U$8:$U$307)),0))</f>
        <v/>
      </c>
      <c r="W187" s="25">
        <f>IF($A187="","",IFERROR(INDEX('Ref_Crosswalk'!$E$2:$E$500,MATCH($A187,'Ref_Crosswalk'!$A$2:$A$500,0)),""))</f>
        <v/>
      </c>
      <c r="X187" s="25">
        <f>IF($A187="","",IFERROR(INDEX('Ref_Crosswalk'!$C$2:$C$500,MATCH($A187,'Ref_Crosswalk'!$A$2:$A$500,0)),""))</f>
        <v/>
      </c>
      <c r="Y187" s="25">
        <f>IF($A187="",0,IF(AND(OR('Out_Dashboard'!$C$5="",$W187='Out_Dashboard'!$C$5),OR('Out_Dashboard'!$C$6="",$X187='Out_Dashboard'!$C$6),OR('Out_Dashboard'!$C$7="",$B187='Out_Dashboard'!$C$7)),1,0))</f>
        <v/>
      </c>
      <c r="Z187" s="25">
        <f>IF(AND($A187&lt;&gt;"",$S187&lt;&gt;"",$Y187=1),SUMPRODUCT(($A$8:$A187&lt;&gt;"")*($S$8:$S187&lt;&gt;"")*($Y$8:$Y187=1)),"")</f>
        <v/>
      </c>
      <c r="AA187" s="25">
        <f>IF(AND($A187&lt;&gt;"",$T187&lt;&gt;"",$Y187=1),SUMPRODUCT(($A$8:$A187&lt;&gt;"")*($T$8:$T187&lt;&gt;"")*($Y$8:$Y187=1)),"")</f>
        <v/>
      </c>
    </row>
    <row r="188">
      <c r="A188" s="13" t="n"/>
      <c r="B188" s="13" t="n"/>
      <c r="C188" s="26" t="n"/>
      <c r="D188" s="26" t="n"/>
      <c r="E188" s="26" t="n"/>
      <c r="F188" s="13" t="n"/>
      <c r="G188" s="13" t="n"/>
      <c r="H188" s="13" t="n"/>
      <c r="I188" s="13" t="n"/>
      <c r="J188" s="23">
        <f>IF($A188="","",IFERROR(INDEX('Ref_Crosswalk'!$F$2:$F$500,MATCH($A188,'Ref_Crosswalk'!$A$2:$A$500,0)),"UNKNOWN"))</f>
        <v/>
      </c>
      <c r="K188" s="24">
        <f>IF($A188="","",IFERROR(INDEX('Ref_Tolerance'!$B$2:$B$9,MATCH($J188,'Ref_Tolerance'!$A$2:$A$9,0)),""))</f>
        <v/>
      </c>
      <c r="L188" s="23">
        <f>IF($A188="","",IFERROR(INDEX('Ref_Tolerance'!$D$2:$D$9,MATCH($J188,'Ref_Tolerance'!$A$2:$A$9,0)),""))</f>
        <v/>
      </c>
      <c r="M188" s="24">
        <f>IF($A188="","",IFERROR(ABS(N($D188))/N($C188),0))</f>
        <v/>
      </c>
      <c r="N188" s="24">
        <f>IF($A188="","",IFERROR(N($E188)/N($C188),0))</f>
        <v/>
      </c>
      <c r="O188" s="23">
        <f>IF($A188="",0,IFERROR(SUMPRODUCT(($A$8:$A$307=$A188)*($P$8:$P$307="FAIL")*($U$8:$U$307&gt;$V188)*($U$8:$U$307&lt;=$U188)),0))</f>
        <v/>
      </c>
      <c r="P188" s="23">
        <f>IF($A188="","",IFERROR(IF(NOT(ISNUMBER($K188)),"CHECK",IF($L188="MARGIN",IF($N188&lt;=$K188,"PASS","FAIL"),IF($M188&lt;=$K188,"PASS","FAIL"))),"CHECK"))</f>
        <v/>
      </c>
      <c r="Q188" s="23">
        <f>IF($A188="","",IFERROR(INDEX('Ref_Tolerance'!$E$2:$E$9,MATCH($J188,'Ref_Tolerance'!$A$2:$A$9,0)),""))</f>
        <v/>
      </c>
      <c r="R188" s="23">
        <f>IF($A188="","",IFERROR(IF($O188=0,"CLEAR",IF($O188=1,"MFR DUE - MANAGER",IF($O188=2,"MFR DUE - FSS/CC SIGNATURE REQUIRED","INVESTIGATION + REPORT OF SURVEY; MSG/CC NOTIFIED"))),""))</f>
        <v/>
      </c>
      <c r="S188" s="23">
        <f>IF($A188="","",IF($O188=2,"WATCH - ONE MORE MISS TRIGGERS INVESTIGATION",""))</f>
        <v/>
      </c>
      <c r="T188" s="23">
        <f>IF($A188="","",IFERROR(IF(AND($O188&gt;=1,$F188&lt;&gt;"Y"),"MFR NOT SUBMITTED",IF(AND($O188&gt;=2,$G188&lt;&gt;"Y"),"FSS/CC SIGNATURE MISSING",IF(AND($O188&gt;=3,$H188&lt;&gt;"Y"),"INVESTIGATION NOT OPENED",""))),""))</f>
        <v/>
      </c>
      <c r="U188" s="25">
        <f>IF($A188="",0,IFERROR(MATCH($B188,'Ref_Calendar'!$A$2:$A$500,0),0))</f>
        <v/>
      </c>
      <c r="V188" s="25">
        <f>IF($A188="",0,IFERROR(SUMPRODUCT(MAX(($A$8:$A$307=$A188)*($P$8:$P$307="PASS")*($U$8:$U$307&lt;=$U188)*$U$8:$U$307)),0))</f>
        <v/>
      </c>
      <c r="W188" s="25">
        <f>IF($A188="","",IFERROR(INDEX('Ref_Crosswalk'!$E$2:$E$500,MATCH($A188,'Ref_Crosswalk'!$A$2:$A$500,0)),""))</f>
        <v/>
      </c>
      <c r="X188" s="25">
        <f>IF($A188="","",IFERROR(INDEX('Ref_Crosswalk'!$C$2:$C$500,MATCH($A188,'Ref_Crosswalk'!$A$2:$A$500,0)),""))</f>
        <v/>
      </c>
      <c r="Y188" s="25">
        <f>IF($A188="",0,IF(AND(OR('Out_Dashboard'!$C$5="",$W188='Out_Dashboard'!$C$5),OR('Out_Dashboard'!$C$6="",$X188='Out_Dashboard'!$C$6),OR('Out_Dashboard'!$C$7="",$B188='Out_Dashboard'!$C$7)),1,0))</f>
        <v/>
      </c>
      <c r="Z188" s="25">
        <f>IF(AND($A188&lt;&gt;"",$S188&lt;&gt;"",$Y188=1),SUMPRODUCT(($A$8:$A188&lt;&gt;"")*($S$8:$S188&lt;&gt;"")*($Y$8:$Y188=1)),"")</f>
        <v/>
      </c>
      <c r="AA188" s="25">
        <f>IF(AND($A188&lt;&gt;"",$T188&lt;&gt;"",$Y188=1),SUMPRODUCT(($A$8:$A188&lt;&gt;"")*($T$8:$T188&lt;&gt;"")*($Y$8:$Y188=1)),"")</f>
        <v/>
      </c>
    </row>
    <row r="189">
      <c r="A189" s="13" t="n"/>
      <c r="B189" s="13" t="n"/>
      <c r="C189" s="26" t="n"/>
      <c r="D189" s="26" t="n"/>
      <c r="E189" s="26" t="n"/>
      <c r="F189" s="13" t="n"/>
      <c r="G189" s="13" t="n"/>
      <c r="H189" s="13" t="n"/>
      <c r="I189" s="13" t="n"/>
      <c r="J189" s="23">
        <f>IF($A189="","",IFERROR(INDEX('Ref_Crosswalk'!$F$2:$F$500,MATCH($A189,'Ref_Crosswalk'!$A$2:$A$500,0)),"UNKNOWN"))</f>
        <v/>
      </c>
      <c r="K189" s="24">
        <f>IF($A189="","",IFERROR(INDEX('Ref_Tolerance'!$B$2:$B$9,MATCH($J189,'Ref_Tolerance'!$A$2:$A$9,0)),""))</f>
        <v/>
      </c>
      <c r="L189" s="23">
        <f>IF($A189="","",IFERROR(INDEX('Ref_Tolerance'!$D$2:$D$9,MATCH($J189,'Ref_Tolerance'!$A$2:$A$9,0)),""))</f>
        <v/>
      </c>
      <c r="M189" s="24">
        <f>IF($A189="","",IFERROR(ABS(N($D189))/N($C189),0))</f>
        <v/>
      </c>
      <c r="N189" s="24">
        <f>IF($A189="","",IFERROR(N($E189)/N($C189),0))</f>
        <v/>
      </c>
      <c r="O189" s="23">
        <f>IF($A189="",0,IFERROR(SUMPRODUCT(($A$8:$A$307=$A189)*($P$8:$P$307="FAIL")*($U$8:$U$307&gt;$V189)*($U$8:$U$307&lt;=$U189)),0))</f>
        <v/>
      </c>
      <c r="P189" s="23">
        <f>IF($A189="","",IFERROR(IF(NOT(ISNUMBER($K189)),"CHECK",IF($L189="MARGIN",IF($N189&lt;=$K189,"PASS","FAIL"),IF($M189&lt;=$K189,"PASS","FAIL"))),"CHECK"))</f>
        <v/>
      </c>
      <c r="Q189" s="23">
        <f>IF($A189="","",IFERROR(INDEX('Ref_Tolerance'!$E$2:$E$9,MATCH($J189,'Ref_Tolerance'!$A$2:$A$9,0)),""))</f>
        <v/>
      </c>
      <c r="R189" s="23">
        <f>IF($A189="","",IFERROR(IF($O189=0,"CLEAR",IF($O189=1,"MFR DUE - MANAGER",IF($O189=2,"MFR DUE - FSS/CC SIGNATURE REQUIRED","INVESTIGATION + REPORT OF SURVEY; MSG/CC NOTIFIED"))),""))</f>
        <v/>
      </c>
      <c r="S189" s="23">
        <f>IF($A189="","",IF($O189=2,"WATCH - ONE MORE MISS TRIGGERS INVESTIGATION",""))</f>
        <v/>
      </c>
      <c r="T189" s="23">
        <f>IF($A189="","",IFERROR(IF(AND($O189&gt;=1,$F189&lt;&gt;"Y"),"MFR NOT SUBMITTED",IF(AND($O189&gt;=2,$G189&lt;&gt;"Y"),"FSS/CC SIGNATURE MISSING",IF(AND($O189&gt;=3,$H189&lt;&gt;"Y"),"INVESTIGATION NOT OPENED",""))),""))</f>
        <v/>
      </c>
      <c r="U189" s="25">
        <f>IF($A189="",0,IFERROR(MATCH($B189,'Ref_Calendar'!$A$2:$A$500,0),0))</f>
        <v/>
      </c>
      <c r="V189" s="25">
        <f>IF($A189="",0,IFERROR(SUMPRODUCT(MAX(($A$8:$A$307=$A189)*($P$8:$P$307="PASS")*($U$8:$U$307&lt;=$U189)*$U$8:$U$307)),0))</f>
        <v/>
      </c>
      <c r="W189" s="25">
        <f>IF($A189="","",IFERROR(INDEX('Ref_Crosswalk'!$E$2:$E$500,MATCH($A189,'Ref_Crosswalk'!$A$2:$A$500,0)),""))</f>
        <v/>
      </c>
      <c r="X189" s="25">
        <f>IF($A189="","",IFERROR(INDEX('Ref_Crosswalk'!$C$2:$C$500,MATCH($A189,'Ref_Crosswalk'!$A$2:$A$500,0)),""))</f>
        <v/>
      </c>
      <c r="Y189" s="25">
        <f>IF($A189="",0,IF(AND(OR('Out_Dashboard'!$C$5="",$W189='Out_Dashboard'!$C$5),OR('Out_Dashboard'!$C$6="",$X189='Out_Dashboard'!$C$6),OR('Out_Dashboard'!$C$7="",$B189='Out_Dashboard'!$C$7)),1,0))</f>
        <v/>
      </c>
      <c r="Z189" s="25">
        <f>IF(AND($A189&lt;&gt;"",$S189&lt;&gt;"",$Y189=1),SUMPRODUCT(($A$8:$A189&lt;&gt;"")*($S$8:$S189&lt;&gt;"")*($Y$8:$Y189=1)),"")</f>
        <v/>
      </c>
      <c r="AA189" s="25">
        <f>IF(AND($A189&lt;&gt;"",$T189&lt;&gt;"",$Y189=1),SUMPRODUCT(($A$8:$A189&lt;&gt;"")*($T$8:$T189&lt;&gt;"")*($Y$8:$Y189=1)),"")</f>
        <v/>
      </c>
    </row>
    <row r="190">
      <c r="A190" s="13" t="n"/>
      <c r="B190" s="13" t="n"/>
      <c r="C190" s="26" t="n"/>
      <c r="D190" s="26" t="n"/>
      <c r="E190" s="26" t="n"/>
      <c r="F190" s="13" t="n"/>
      <c r="G190" s="13" t="n"/>
      <c r="H190" s="13" t="n"/>
      <c r="I190" s="13" t="n"/>
      <c r="J190" s="23">
        <f>IF($A190="","",IFERROR(INDEX('Ref_Crosswalk'!$F$2:$F$500,MATCH($A190,'Ref_Crosswalk'!$A$2:$A$500,0)),"UNKNOWN"))</f>
        <v/>
      </c>
      <c r="K190" s="24">
        <f>IF($A190="","",IFERROR(INDEX('Ref_Tolerance'!$B$2:$B$9,MATCH($J190,'Ref_Tolerance'!$A$2:$A$9,0)),""))</f>
        <v/>
      </c>
      <c r="L190" s="23">
        <f>IF($A190="","",IFERROR(INDEX('Ref_Tolerance'!$D$2:$D$9,MATCH($J190,'Ref_Tolerance'!$A$2:$A$9,0)),""))</f>
        <v/>
      </c>
      <c r="M190" s="24">
        <f>IF($A190="","",IFERROR(ABS(N($D190))/N($C190),0))</f>
        <v/>
      </c>
      <c r="N190" s="24">
        <f>IF($A190="","",IFERROR(N($E190)/N($C190),0))</f>
        <v/>
      </c>
      <c r="O190" s="23">
        <f>IF($A190="",0,IFERROR(SUMPRODUCT(($A$8:$A$307=$A190)*($P$8:$P$307="FAIL")*($U$8:$U$307&gt;$V190)*($U$8:$U$307&lt;=$U190)),0))</f>
        <v/>
      </c>
      <c r="P190" s="23">
        <f>IF($A190="","",IFERROR(IF(NOT(ISNUMBER($K190)),"CHECK",IF($L190="MARGIN",IF($N190&lt;=$K190,"PASS","FAIL"),IF($M190&lt;=$K190,"PASS","FAIL"))),"CHECK"))</f>
        <v/>
      </c>
      <c r="Q190" s="23">
        <f>IF($A190="","",IFERROR(INDEX('Ref_Tolerance'!$E$2:$E$9,MATCH($J190,'Ref_Tolerance'!$A$2:$A$9,0)),""))</f>
        <v/>
      </c>
      <c r="R190" s="23">
        <f>IF($A190="","",IFERROR(IF($O190=0,"CLEAR",IF($O190=1,"MFR DUE - MANAGER",IF($O190=2,"MFR DUE - FSS/CC SIGNATURE REQUIRED","INVESTIGATION + REPORT OF SURVEY; MSG/CC NOTIFIED"))),""))</f>
        <v/>
      </c>
      <c r="S190" s="23">
        <f>IF($A190="","",IF($O190=2,"WATCH - ONE MORE MISS TRIGGERS INVESTIGATION",""))</f>
        <v/>
      </c>
      <c r="T190" s="23">
        <f>IF($A190="","",IFERROR(IF(AND($O190&gt;=1,$F190&lt;&gt;"Y"),"MFR NOT SUBMITTED",IF(AND($O190&gt;=2,$G190&lt;&gt;"Y"),"FSS/CC SIGNATURE MISSING",IF(AND($O190&gt;=3,$H190&lt;&gt;"Y"),"INVESTIGATION NOT OPENED",""))),""))</f>
        <v/>
      </c>
      <c r="U190" s="25">
        <f>IF($A190="",0,IFERROR(MATCH($B190,'Ref_Calendar'!$A$2:$A$500,0),0))</f>
        <v/>
      </c>
      <c r="V190" s="25">
        <f>IF($A190="",0,IFERROR(SUMPRODUCT(MAX(($A$8:$A$307=$A190)*($P$8:$P$307="PASS")*($U$8:$U$307&lt;=$U190)*$U$8:$U$307)),0))</f>
        <v/>
      </c>
      <c r="W190" s="25">
        <f>IF($A190="","",IFERROR(INDEX('Ref_Crosswalk'!$E$2:$E$500,MATCH($A190,'Ref_Crosswalk'!$A$2:$A$500,0)),""))</f>
        <v/>
      </c>
      <c r="X190" s="25">
        <f>IF($A190="","",IFERROR(INDEX('Ref_Crosswalk'!$C$2:$C$500,MATCH($A190,'Ref_Crosswalk'!$A$2:$A$500,0)),""))</f>
        <v/>
      </c>
      <c r="Y190" s="25">
        <f>IF($A190="",0,IF(AND(OR('Out_Dashboard'!$C$5="",$W190='Out_Dashboard'!$C$5),OR('Out_Dashboard'!$C$6="",$X190='Out_Dashboard'!$C$6),OR('Out_Dashboard'!$C$7="",$B190='Out_Dashboard'!$C$7)),1,0))</f>
        <v/>
      </c>
      <c r="Z190" s="25">
        <f>IF(AND($A190&lt;&gt;"",$S190&lt;&gt;"",$Y190=1),SUMPRODUCT(($A$8:$A190&lt;&gt;"")*($S$8:$S190&lt;&gt;"")*($Y$8:$Y190=1)),"")</f>
        <v/>
      </c>
      <c r="AA190" s="25">
        <f>IF(AND($A190&lt;&gt;"",$T190&lt;&gt;"",$Y190=1),SUMPRODUCT(($A$8:$A190&lt;&gt;"")*($T$8:$T190&lt;&gt;"")*($Y$8:$Y190=1)),"")</f>
        <v/>
      </c>
    </row>
    <row r="191">
      <c r="A191" s="13" t="n"/>
      <c r="B191" s="13" t="n"/>
      <c r="C191" s="26" t="n"/>
      <c r="D191" s="26" t="n"/>
      <c r="E191" s="26" t="n"/>
      <c r="F191" s="13" t="n"/>
      <c r="G191" s="13" t="n"/>
      <c r="H191" s="13" t="n"/>
      <c r="I191" s="13" t="n"/>
      <c r="J191" s="23">
        <f>IF($A191="","",IFERROR(INDEX('Ref_Crosswalk'!$F$2:$F$500,MATCH($A191,'Ref_Crosswalk'!$A$2:$A$500,0)),"UNKNOWN"))</f>
        <v/>
      </c>
      <c r="K191" s="24">
        <f>IF($A191="","",IFERROR(INDEX('Ref_Tolerance'!$B$2:$B$9,MATCH($J191,'Ref_Tolerance'!$A$2:$A$9,0)),""))</f>
        <v/>
      </c>
      <c r="L191" s="23">
        <f>IF($A191="","",IFERROR(INDEX('Ref_Tolerance'!$D$2:$D$9,MATCH($J191,'Ref_Tolerance'!$A$2:$A$9,0)),""))</f>
        <v/>
      </c>
      <c r="M191" s="24">
        <f>IF($A191="","",IFERROR(ABS(N($D191))/N($C191),0))</f>
        <v/>
      </c>
      <c r="N191" s="24">
        <f>IF($A191="","",IFERROR(N($E191)/N($C191),0))</f>
        <v/>
      </c>
      <c r="O191" s="23">
        <f>IF($A191="",0,IFERROR(SUMPRODUCT(($A$8:$A$307=$A191)*($P$8:$P$307="FAIL")*($U$8:$U$307&gt;$V191)*($U$8:$U$307&lt;=$U191)),0))</f>
        <v/>
      </c>
      <c r="P191" s="23">
        <f>IF($A191="","",IFERROR(IF(NOT(ISNUMBER($K191)),"CHECK",IF($L191="MARGIN",IF($N191&lt;=$K191,"PASS","FAIL"),IF($M191&lt;=$K191,"PASS","FAIL"))),"CHECK"))</f>
        <v/>
      </c>
      <c r="Q191" s="23">
        <f>IF($A191="","",IFERROR(INDEX('Ref_Tolerance'!$E$2:$E$9,MATCH($J191,'Ref_Tolerance'!$A$2:$A$9,0)),""))</f>
        <v/>
      </c>
      <c r="R191" s="23">
        <f>IF($A191="","",IFERROR(IF($O191=0,"CLEAR",IF($O191=1,"MFR DUE - MANAGER",IF($O191=2,"MFR DUE - FSS/CC SIGNATURE REQUIRED","INVESTIGATION + REPORT OF SURVEY; MSG/CC NOTIFIED"))),""))</f>
        <v/>
      </c>
      <c r="S191" s="23">
        <f>IF($A191="","",IF($O191=2,"WATCH - ONE MORE MISS TRIGGERS INVESTIGATION",""))</f>
        <v/>
      </c>
      <c r="T191" s="23">
        <f>IF($A191="","",IFERROR(IF(AND($O191&gt;=1,$F191&lt;&gt;"Y"),"MFR NOT SUBMITTED",IF(AND($O191&gt;=2,$G191&lt;&gt;"Y"),"FSS/CC SIGNATURE MISSING",IF(AND($O191&gt;=3,$H191&lt;&gt;"Y"),"INVESTIGATION NOT OPENED",""))),""))</f>
        <v/>
      </c>
      <c r="U191" s="25">
        <f>IF($A191="",0,IFERROR(MATCH($B191,'Ref_Calendar'!$A$2:$A$500,0),0))</f>
        <v/>
      </c>
      <c r="V191" s="25">
        <f>IF($A191="",0,IFERROR(SUMPRODUCT(MAX(($A$8:$A$307=$A191)*($P$8:$P$307="PASS")*($U$8:$U$307&lt;=$U191)*$U$8:$U$307)),0))</f>
        <v/>
      </c>
      <c r="W191" s="25">
        <f>IF($A191="","",IFERROR(INDEX('Ref_Crosswalk'!$E$2:$E$500,MATCH($A191,'Ref_Crosswalk'!$A$2:$A$500,0)),""))</f>
        <v/>
      </c>
      <c r="X191" s="25">
        <f>IF($A191="","",IFERROR(INDEX('Ref_Crosswalk'!$C$2:$C$500,MATCH($A191,'Ref_Crosswalk'!$A$2:$A$500,0)),""))</f>
        <v/>
      </c>
      <c r="Y191" s="25">
        <f>IF($A191="",0,IF(AND(OR('Out_Dashboard'!$C$5="",$W191='Out_Dashboard'!$C$5),OR('Out_Dashboard'!$C$6="",$X191='Out_Dashboard'!$C$6),OR('Out_Dashboard'!$C$7="",$B191='Out_Dashboard'!$C$7)),1,0))</f>
        <v/>
      </c>
      <c r="Z191" s="25">
        <f>IF(AND($A191&lt;&gt;"",$S191&lt;&gt;"",$Y191=1),SUMPRODUCT(($A$8:$A191&lt;&gt;"")*($S$8:$S191&lt;&gt;"")*($Y$8:$Y191=1)),"")</f>
        <v/>
      </c>
      <c r="AA191" s="25">
        <f>IF(AND($A191&lt;&gt;"",$T191&lt;&gt;"",$Y191=1),SUMPRODUCT(($A$8:$A191&lt;&gt;"")*($T$8:$T191&lt;&gt;"")*($Y$8:$Y191=1)),"")</f>
        <v/>
      </c>
    </row>
    <row r="192">
      <c r="A192" s="13" t="n"/>
      <c r="B192" s="13" t="n"/>
      <c r="C192" s="26" t="n"/>
      <c r="D192" s="26" t="n"/>
      <c r="E192" s="26" t="n"/>
      <c r="F192" s="13" t="n"/>
      <c r="G192" s="13" t="n"/>
      <c r="H192" s="13" t="n"/>
      <c r="I192" s="13" t="n"/>
      <c r="J192" s="23">
        <f>IF($A192="","",IFERROR(INDEX('Ref_Crosswalk'!$F$2:$F$500,MATCH($A192,'Ref_Crosswalk'!$A$2:$A$500,0)),"UNKNOWN"))</f>
        <v/>
      </c>
      <c r="K192" s="24">
        <f>IF($A192="","",IFERROR(INDEX('Ref_Tolerance'!$B$2:$B$9,MATCH($J192,'Ref_Tolerance'!$A$2:$A$9,0)),""))</f>
        <v/>
      </c>
      <c r="L192" s="23">
        <f>IF($A192="","",IFERROR(INDEX('Ref_Tolerance'!$D$2:$D$9,MATCH($J192,'Ref_Tolerance'!$A$2:$A$9,0)),""))</f>
        <v/>
      </c>
      <c r="M192" s="24">
        <f>IF($A192="","",IFERROR(ABS(N($D192))/N($C192),0))</f>
        <v/>
      </c>
      <c r="N192" s="24">
        <f>IF($A192="","",IFERROR(N($E192)/N($C192),0))</f>
        <v/>
      </c>
      <c r="O192" s="23">
        <f>IF($A192="",0,IFERROR(SUMPRODUCT(($A$8:$A$307=$A192)*($P$8:$P$307="FAIL")*($U$8:$U$307&gt;$V192)*($U$8:$U$307&lt;=$U192)),0))</f>
        <v/>
      </c>
      <c r="P192" s="23">
        <f>IF($A192="","",IFERROR(IF(NOT(ISNUMBER($K192)),"CHECK",IF($L192="MARGIN",IF($N192&lt;=$K192,"PASS","FAIL"),IF($M192&lt;=$K192,"PASS","FAIL"))),"CHECK"))</f>
        <v/>
      </c>
      <c r="Q192" s="23">
        <f>IF($A192="","",IFERROR(INDEX('Ref_Tolerance'!$E$2:$E$9,MATCH($J192,'Ref_Tolerance'!$A$2:$A$9,0)),""))</f>
        <v/>
      </c>
      <c r="R192" s="23">
        <f>IF($A192="","",IFERROR(IF($O192=0,"CLEAR",IF($O192=1,"MFR DUE - MANAGER",IF($O192=2,"MFR DUE - FSS/CC SIGNATURE REQUIRED","INVESTIGATION + REPORT OF SURVEY; MSG/CC NOTIFIED"))),""))</f>
        <v/>
      </c>
      <c r="S192" s="23">
        <f>IF($A192="","",IF($O192=2,"WATCH - ONE MORE MISS TRIGGERS INVESTIGATION",""))</f>
        <v/>
      </c>
      <c r="T192" s="23">
        <f>IF($A192="","",IFERROR(IF(AND($O192&gt;=1,$F192&lt;&gt;"Y"),"MFR NOT SUBMITTED",IF(AND($O192&gt;=2,$G192&lt;&gt;"Y"),"FSS/CC SIGNATURE MISSING",IF(AND($O192&gt;=3,$H192&lt;&gt;"Y"),"INVESTIGATION NOT OPENED",""))),""))</f>
        <v/>
      </c>
      <c r="U192" s="25">
        <f>IF($A192="",0,IFERROR(MATCH($B192,'Ref_Calendar'!$A$2:$A$500,0),0))</f>
        <v/>
      </c>
      <c r="V192" s="25">
        <f>IF($A192="",0,IFERROR(SUMPRODUCT(MAX(($A$8:$A$307=$A192)*($P$8:$P$307="PASS")*($U$8:$U$307&lt;=$U192)*$U$8:$U$307)),0))</f>
        <v/>
      </c>
      <c r="W192" s="25">
        <f>IF($A192="","",IFERROR(INDEX('Ref_Crosswalk'!$E$2:$E$500,MATCH($A192,'Ref_Crosswalk'!$A$2:$A$500,0)),""))</f>
        <v/>
      </c>
      <c r="X192" s="25">
        <f>IF($A192="","",IFERROR(INDEX('Ref_Crosswalk'!$C$2:$C$500,MATCH($A192,'Ref_Crosswalk'!$A$2:$A$500,0)),""))</f>
        <v/>
      </c>
      <c r="Y192" s="25">
        <f>IF($A192="",0,IF(AND(OR('Out_Dashboard'!$C$5="",$W192='Out_Dashboard'!$C$5),OR('Out_Dashboard'!$C$6="",$X192='Out_Dashboard'!$C$6),OR('Out_Dashboard'!$C$7="",$B192='Out_Dashboard'!$C$7)),1,0))</f>
        <v/>
      </c>
      <c r="Z192" s="25">
        <f>IF(AND($A192&lt;&gt;"",$S192&lt;&gt;"",$Y192=1),SUMPRODUCT(($A$8:$A192&lt;&gt;"")*($S$8:$S192&lt;&gt;"")*($Y$8:$Y192=1)),"")</f>
        <v/>
      </c>
      <c r="AA192" s="25">
        <f>IF(AND($A192&lt;&gt;"",$T192&lt;&gt;"",$Y192=1),SUMPRODUCT(($A$8:$A192&lt;&gt;"")*($T$8:$T192&lt;&gt;"")*($Y$8:$Y192=1)),"")</f>
        <v/>
      </c>
    </row>
    <row r="193">
      <c r="A193" s="13" t="n"/>
      <c r="B193" s="13" t="n"/>
      <c r="C193" s="26" t="n"/>
      <c r="D193" s="26" t="n"/>
      <c r="E193" s="26" t="n"/>
      <c r="F193" s="13" t="n"/>
      <c r="G193" s="13" t="n"/>
      <c r="H193" s="13" t="n"/>
      <c r="I193" s="13" t="n"/>
      <c r="J193" s="23">
        <f>IF($A193="","",IFERROR(INDEX('Ref_Crosswalk'!$F$2:$F$500,MATCH($A193,'Ref_Crosswalk'!$A$2:$A$500,0)),"UNKNOWN"))</f>
        <v/>
      </c>
      <c r="K193" s="24">
        <f>IF($A193="","",IFERROR(INDEX('Ref_Tolerance'!$B$2:$B$9,MATCH($J193,'Ref_Tolerance'!$A$2:$A$9,0)),""))</f>
        <v/>
      </c>
      <c r="L193" s="23">
        <f>IF($A193="","",IFERROR(INDEX('Ref_Tolerance'!$D$2:$D$9,MATCH($J193,'Ref_Tolerance'!$A$2:$A$9,0)),""))</f>
        <v/>
      </c>
      <c r="M193" s="24">
        <f>IF($A193="","",IFERROR(ABS(N($D193))/N($C193),0))</f>
        <v/>
      </c>
      <c r="N193" s="24">
        <f>IF($A193="","",IFERROR(N($E193)/N($C193),0))</f>
        <v/>
      </c>
      <c r="O193" s="23">
        <f>IF($A193="",0,IFERROR(SUMPRODUCT(($A$8:$A$307=$A193)*($P$8:$P$307="FAIL")*($U$8:$U$307&gt;$V193)*($U$8:$U$307&lt;=$U193)),0))</f>
        <v/>
      </c>
      <c r="P193" s="23">
        <f>IF($A193="","",IFERROR(IF(NOT(ISNUMBER($K193)),"CHECK",IF($L193="MARGIN",IF($N193&lt;=$K193,"PASS","FAIL"),IF($M193&lt;=$K193,"PASS","FAIL"))),"CHECK"))</f>
        <v/>
      </c>
      <c r="Q193" s="23">
        <f>IF($A193="","",IFERROR(INDEX('Ref_Tolerance'!$E$2:$E$9,MATCH($J193,'Ref_Tolerance'!$A$2:$A$9,0)),""))</f>
        <v/>
      </c>
      <c r="R193" s="23">
        <f>IF($A193="","",IFERROR(IF($O193=0,"CLEAR",IF($O193=1,"MFR DUE - MANAGER",IF($O193=2,"MFR DUE - FSS/CC SIGNATURE REQUIRED","INVESTIGATION + REPORT OF SURVEY; MSG/CC NOTIFIED"))),""))</f>
        <v/>
      </c>
      <c r="S193" s="23">
        <f>IF($A193="","",IF($O193=2,"WATCH - ONE MORE MISS TRIGGERS INVESTIGATION",""))</f>
        <v/>
      </c>
      <c r="T193" s="23">
        <f>IF($A193="","",IFERROR(IF(AND($O193&gt;=1,$F193&lt;&gt;"Y"),"MFR NOT SUBMITTED",IF(AND($O193&gt;=2,$G193&lt;&gt;"Y"),"FSS/CC SIGNATURE MISSING",IF(AND($O193&gt;=3,$H193&lt;&gt;"Y"),"INVESTIGATION NOT OPENED",""))),""))</f>
        <v/>
      </c>
      <c r="U193" s="25">
        <f>IF($A193="",0,IFERROR(MATCH($B193,'Ref_Calendar'!$A$2:$A$500,0),0))</f>
        <v/>
      </c>
      <c r="V193" s="25">
        <f>IF($A193="",0,IFERROR(SUMPRODUCT(MAX(($A$8:$A$307=$A193)*($P$8:$P$307="PASS")*($U$8:$U$307&lt;=$U193)*$U$8:$U$307)),0))</f>
        <v/>
      </c>
      <c r="W193" s="25">
        <f>IF($A193="","",IFERROR(INDEX('Ref_Crosswalk'!$E$2:$E$500,MATCH($A193,'Ref_Crosswalk'!$A$2:$A$500,0)),""))</f>
        <v/>
      </c>
      <c r="X193" s="25">
        <f>IF($A193="","",IFERROR(INDEX('Ref_Crosswalk'!$C$2:$C$500,MATCH($A193,'Ref_Crosswalk'!$A$2:$A$500,0)),""))</f>
        <v/>
      </c>
      <c r="Y193" s="25">
        <f>IF($A193="",0,IF(AND(OR('Out_Dashboard'!$C$5="",$W193='Out_Dashboard'!$C$5),OR('Out_Dashboard'!$C$6="",$X193='Out_Dashboard'!$C$6),OR('Out_Dashboard'!$C$7="",$B193='Out_Dashboard'!$C$7)),1,0))</f>
        <v/>
      </c>
      <c r="Z193" s="25">
        <f>IF(AND($A193&lt;&gt;"",$S193&lt;&gt;"",$Y193=1),SUMPRODUCT(($A$8:$A193&lt;&gt;"")*($S$8:$S193&lt;&gt;"")*($Y$8:$Y193=1)),"")</f>
        <v/>
      </c>
      <c r="AA193" s="25">
        <f>IF(AND($A193&lt;&gt;"",$T193&lt;&gt;"",$Y193=1),SUMPRODUCT(($A$8:$A193&lt;&gt;"")*($T$8:$T193&lt;&gt;"")*($Y$8:$Y193=1)),"")</f>
        <v/>
      </c>
    </row>
    <row r="194">
      <c r="A194" s="13" t="n"/>
      <c r="B194" s="13" t="n"/>
      <c r="C194" s="26" t="n"/>
      <c r="D194" s="26" t="n"/>
      <c r="E194" s="26" t="n"/>
      <c r="F194" s="13" t="n"/>
      <c r="G194" s="13" t="n"/>
      <c r="H194" s="13" t="n"/>
      <c r="I194" s="13" t="n"/>
      <c r="J194" s="23">
        <f>IF($A194="","",IFERROR(INDEX('Ref_Crosswalk'!$F$2:$F$500,MATCH($A194,'Ref_Crosswalk'!$A$2:$A$500,0)),"UNKNOWN"))</f>
        <v/>
      </c>
      <c r="K194" s="24">
        <f>IF($A194="","",IFERROR(INDEX('Ref_Tolerance'!$B$2:$B$9,MATCH($J194,'Ref_Tolerance'!$A$2:$A$9,0)),""))</f>
        <v/>
      </c>
      <c r="L194" s="23">
        <f>IF($A194="","",IFERROR(INDEX('Ref_Tolerance'!$D$2:$D$9,MATCH($J194,'Ref_Tolerance'!$A$2:$A$9,0)),""))</f>
        <v/>
      </c>
      <c r="M194" s="24">
        <f>IF($A194="","",IFERROR(ABS(N($D194))/N($C194),0))</f>
        <v/>
      </c>
      <c r="N194" s="24">
        <f>IF($A194="","",IFERROR(N($E194)/N($C194),0))</f>
        <v/>
      </c>
      <c r="O194" s="23">
        <f>IF($A194="",0,IFERROR(SUMPRODUCT(($A$8:$A$307=$A194)*($P$8:$P$307="FAIL")*($U$8:$U$307&gt;$V194)*($U$8:$U$307&lt;=$U194)),0))</f>
        <v/>
      </c>
      <c r="P194" s="23">
        <f>IF($A194="","",IFERROR(IF(NOT(ISNUMBER($K194)),"CHECK",IF($L194="MARGIN",IF($N194&lt;=$K194,"PASS","FAIL"),IF($M194&lt;=$K194,"PASS","FAIL"))),"CHECK"))</f>
        <v/>
      </c>
      <c r="Q194" s="23">
        <f>IF($A194="","",IFERROR(INDEX('Ref_Tolerance'!$E$2:$E$9,MATCH($J194,'Ref_Tolerance'!$A$2:$A$9,0)),""))</f>
        <v/>
      </c>
      <c r="R194" s="23">
        <f>IF($A194="","",IFERROR(IF($O194=0,"CLEAR",IF($O194=1,"MFR DUE - MANAGER",IF($O194=2,"MFR DUE - FSS/CC SIGNATURE REQUIRED","INVESTIGATION + REPORT OF SURVEY; MSG/CC NOTIFIED"))),""))</f>
        <v/>
      </c>
      <c r="S194" s="23">
        <f>IF($A194="","",IF($O194=2,"WATCH - ONE MORE MISS TRIGGERS INVESTIGATION",""))</f>
        <v/>
      </c>
      <c r="T194" s="23">
        <f>IF($A194="","",IFERROR(IF(AND($O194&gt;=1,$F194&lt;&gt;"Y"),"MFR NOT SUBMITTED",IF(AND($O194&gt;=2,$G194&lt;&gt;"Y"),"FSS/CC SIGNATURE MISSING",IF(AND($O194&gt;=3,$H194&lt;&gt;"Y"),"INVESTIGATION NOT OPENED",""))),""))</f>
        <v/>
      </c>
      <c r="U194" s="25">
        <f>IF($A194="",0,IFERROR(MATCH($B194,'Ref_Calendar'!$A$2:$A$500,0),0))</f>
        <v/>
      </c>
      <c r="V194" s="25">
        <f>IF($A194="",0,IFERROR(SUMPRODUCT(MAX(($A$8:$A$307=$A194)*($P$8:$P$307="PASS")*($U$8:$U$307&lt;=$U194)*$U$8:$U$307)),0))</f>
        <v/>
      </c>
      <c r="W194" s="25">
        <f>IF($A194="","",IFERROR(INDEX('Ref_Crosswalk'!$E$2:$E$500,MATCH($A194,'Ref_Crosswalk'!$A$2:$A$500,0)),""))</f>
        <v/>
      </c>
      <c r="X194" s="25">
        <f>IF($A194="","",IFERROR(INDEX('Ref_Crosswalk'!$C$2:$C$500,MATCH($A194,'Ref_Crosswalk'!$A$2:$A$500,0)),""))</f>
        <v/>
      </c>
      <c r="Y194" s="25">
        <f>IF($A194="",0,IF(AND(OR('Out_Dashboard'!$C$5="",$W194='Out_Dashboard'!$C$5),OR('Out_Dashboard'!$C$6="",$X194='Out_Dashboard'!$C$6),OR('Out_Dashboard'!$C$7="",$B194='Out_Dashboard'!$C$7)),1,0))</f>
        <v/>
      </c>
      <c r="Z194" s="25">
        <f>IF(AND($A194&lt;&gt;"",$S194&lt;&gt;"",$Y194=1),SUMPRODUCT(($A$8:$A194&lt;&gt;"")*($S$8:$S194&lt;&gt;"")*($Y$8:$Y194=1)),"")</f>
        <v/>
      </c>
      <c r="AA194" s="25">
        <f>IF(AND($A194&lt;&gt;"",$T194&lt;&gt;"",$Y194=1),SUMPRODUCT(($A$8:$A194&lt;&gt;"")*($T$8:$T194&lt;&gt;"")*($Y$8:$Y194=1)),"")</f>
        <v/>
      </c>
    </row>
    <row r="195">
      <c r="A195" s="13" t="n"/>
      <c r="B195" s="13" t="n"/>
      <c r="C195" s="26" t="n"/>
      <c r="D195" s="26" t="n"/>
      <c r="E195" s="26" t="n"/>
      <c r="F195" s="13" t="n"/>
      <c r="G195" s="13" t="n"/>
      <c r="H195" s="13" t="n"/>
      <c r="I195" s="13" t="n"/>
      <c r="J195" s="23">
        <f>IF($A195="","",IFERROR(INDEX('Ref_Crosswalk'!$F$2:$F$500,MATCH($A195,'Ref_Crosswalk'!$A$2:$A$500,0)),"UNKNOWN"))</f>
        <v/>
      </c>
      <c r="K195" s="24">
        <f>IF($A195="","",IFERROR(INDEX('Ref_Tolerance'!$B$2:$B$9,MATCH($J195,'Ref_Tolerance'!$A$2:$A$9,0)),""))</f>
        <v/>
      </c>
      <c r="L195" s="23">
        <f>IF($A195="","",IFERROR(INDEX('Ref_Tolerance'!$D$2:$D$9,MATCH($J195,'Ref_Tolerance'!$A$2:$A$9,0)),""))</f>
        <v/>
      </c>
      <c r="M195" s="24">
        <f>IF($A195="","",IFERROR(ABS(N($D195))/N($C195),0))</f>
        <v/>
      </c>
      <c r="N195" s="24">
        <f>IF($A195="","",IFERROR(N($E195)/N($C195),0))</f>
        <v/>
      </c>
      <c r="O195" s="23">
        <f>IF($A195="",0,IFERROR(SUMPRODUCT(($A$8:$A$307=$A195)*($P$8:$P$307="FAIL")*($U$8:$U$307&gt;$V195)*($U$8:$U$307&lt;=$U195)),0))</f>
        <v/>
      </c>
      <c r="P195" s="23">
        <f>IF($A195="","",IFERROR(IF(NOT(ISNUMBER($K195)),"CHECK",IF($L195="MARGIN",IF($N195&lt;=$K195,"PASS","FAIL"),IF($M195&lt;=$K195,"PASS","FAIL"))),"CHECK"))</f>
        <v/>
      </c>
      <c r="Q195" s="23">
        <f>IF($A195="","",IFERROR(INDEX('Ref_Tolerance'!$E$2:$E$9,MATCH($J195,'Ref_Tolerance'!$A$2:$A$9,0)),""))</f>
        <v/>
      </c>
      <c r="R195" s="23">
        <f>IF($A195="","",IFERROR(IF($O195=0,"CLEAR",IF($O195=1,"MFR DUE - MANAGER",IF($O195=2,"MFR DUE - FSS/CC SIGNATURE REQUIRED","INVESTIGATION + REPORT OF SURVEY; MSG/CC NOTIFIED"))),""))</f>
        <v/>
      </c>
      <c r="S195" s="23">
        <f>IF($A195="","",IF($O195=2,"WATCH - ONE MORE MISS TRIGGERS INVESTIGATION",""))</f>
        <v/>
      </c>
      <c r="T195" s="23">
        <f>IF($A195="","",IFERROR(IF(AND($O195&gt;=1,$F195&lt;&gt;"Y"),"MFR NOT SUBMITTED",IF(AND($O195&gt;=2,$G195&lt;&gt;"Y"),"FSS/CC SIGNATURE MISSING",IF(AND($O195&gt;=3,$H195&lt;&gt;"Y"),"INVESTIGATION NOT OPENED",""))),""))</f>
        <v/>
      </c>
      <c r="U195" s="25">
        <f>IF($A195="",0,IFERROR(MATCH($B195,'Ref_Calendar'!$A$2:$A$500,0),0))</f>
        <v/>
      </c>
      <c r="V195" s="25">
        <f>IF($A195="",0,IFERROR(SUMPRODUCT(MAX(($A$8:$A$307=$A195)*($P$8:$P$307="PASS")*($U$8:$U$307&lt;=$U195)*$U$8:$U$307)),0))</f>
        <v/>
      </c>
      <c r="W195" s="25">
        <f>IF($A195="","",IFERROR(INDEX('Ref_Crosswalk'!$E$2:$E$500,MATCH($A195,'Ref_Crosswalk'!$A$2:$A$500,0)),""))</f>
        <v/>
      </c>
      <c r="X195" s="25">
        <f>IF($A195="","",IFERROR(INDEX('Ref_Crosswalk'!$C$2:$C$500,MATCH($A195,'Ref_Crosswalk'!$A$2:$A$500,0)),""))</f>
        <v/>
      </c>
      <c r="Y195" s="25">
        <f>IF($A195="",0,IF(AND(OR('Out_Dashboard'!$C$5="",$W195='Out_Dashboard'!$C$5),OR('Out_Dashboard'!$C$6="",$X195='Out_Dashboard'!$C$6),OR('Out_Dashboard'!$C$7="",$B195='Out_Dashboard'!$C$7)),1,0))</f>
        <v/>
      </c>
      <c r="Z195" s="25">
        <f>IF(AND($A195&lt;&gt;"",$S195&lt;&gt;"",$Y195=1),SUMPRODUCT(($A$8:$A195&lt;&gt;"")*($S$8:$S195&lt;&gt;"")*($Y$8:$Y195=1)),"")</f>
        <v/>
      </c>
      <c r="AA195" s="25">
        <f>IF(AND($A195&lt;&gt;"",$T195&lt;&gt;"",$Y195=1),SUMPRODUCT(($A$8:$A195&lt;&gt;"")*($T$8:$T195&lt;&gt;"")*($Y$8:$Y195=1)),"")</f>
        <v/>
      </c>
    </row>
    <row r="196">
      <c r="A196" s="13" t="n"/>
      <c r="B196" s="13" t="n"/>
      <c r="C196" s="26" t="n"/>
      <c r="D196" s="26" t="n"/>
      <c r="E196" s="26" t="n"/>
      <c r="F196" s="13" t="n"/>
      <c r="G196" s="13" t="n"/>
      <c r="H196" s="13" t="n"/>
      <c r="I196" s="13" t="n"/>
      <c r="J196" s="23">
        <f>IF($A196="","",IFERROR(INDEX('Ref_Crosswalk'!$F$2:$F$500,MATCH($A196,'Ref_Crosswalk'!$A$2:$A$500,0)),"UNKNOWN"))</f>
        <v/>
      </c>
      <c r="K196" s="24">
        <f>IF($A196="","",IFERROR(INDEX('Ref_Tolerance'!$B$2:$B$9,MATCH($J196,'Ref_Tolerance'!$A$2:$A$9,0)),""))</f>
        <v/>
      </c>
      <c r="L196" s="23">
        <f>IF($A196="","",IFERROR(INDEX('Ref_Tolerance'!$D$2:$D$9,MATCH($J196,'Ref_Tolerance'!$A$2:$A$9,0)),""))</f>
        <v/>
      </c>
      <c r="M196" s="24">
        <f>IF($A196="","",IFERROR(ABS(N($D196))/N($C196),0))</f>
        <v/>
      </c>
      <c r="N196" s="24">
        <f>IF($A196="","",IFERROR(N($E196)/N($C196),0))</f>
        <v/>
      </c>
      <c r="O196" s="23">
        <f>IF($A196="",0,IFERROR(SUMPRODUCT(($A$8:$A$307=$A196)*($P$8:$P$307="FAIL")*($U$8:$U$307&gt;$V196)*($U$8:$U$307&lt;=$U196)),0))</f>
        <v/>
      </c>
      <c r="P196" s="23">
        <f>IF($A196="","",IFERROR(IF(NOT(ISNUMBER($K196)),"CHECK",IF($L196="MARGIN",IF($N196&lt;=$K196,"PASS","FAIL"),IF($M196&lt;=$K196,"PASS","FAIL"))),"CHECK"))</f>
        <v/>
      </c>
      <c r="Q196" s="23">
        <f>IF($A196="","",IFERROR(INDEX('Ref_Tolerance'!$E$2:$E$9,MATCH($J196,'Ref_Tolerance'!$A$2:$A$9,0)),""))</f>
        <v/>
      </c>
      <c r="R196" s="23">
        <f>IF($A196="","",IFERROR(IF($O196=0,"CLEAR",IF($O196=1,"MFR DUE - MANAGER",IF($O196=2,"MFR DUE - FSS/CC SIGNATURE REQUIRED","INVESTIGATION + REPORT OF SURVEY; MSG/CC NOTIFIED"))),""))</f>
        <v/>
      </c>
      <c r="S196" s="23">
        <f>IF($A196="","",IF($O196=2,"WATCH - ONE MORE MISS TRIGGERS INVESTIGATION",""))</f>
        <v/>
      </c>
      <c r="T196" s="23">
        <f>IF($A196="","",IFERROR(IF(AND($O196&gt;=1,$F196&lt;&gt;"Y"),"MFR NOT SUBMITTED",IF(AND($O196&gt;=2,$G196&lt;&gt;"Y"),"FSS/CC SIGNATURE MISSING",IF(AND($O196&gt;=3,$H196&lt;&gt;"Y"),"INVESTIGATION NOT OPENED",""))),""))</f>
        <v/>
      </c>
      <c r="U196" s="25">
        <f>IF($A196="",0,IFERROR(MATCH($B196,'Ref_Calendar'!$A$2:$A$500,0),0))</f>
        <v/>
      </c>
      <c r="V196" s="25">
        <f>IF($A196="",0,IFERROR(SUMPRODUCT(MAX(($A$8:$A$307=$A196)*($P$8:$P$307="PASS")*($U$8:$U$307&lt;=$U196)*$U$8:$U$307)),0))</f>
        <v/>
      </c>
      <c r="W196" s="25">
        <f>IF($A196="","",IFERROR(INDEX('Ref_Crosswalk'!$E$2:$E$500,MATCH($A196,'Ref_Crosswalk'!$A$2:$A$500,0)),""))</f>
        <v/>
      </c>
      <c r="X196" s="25">
        <f>IF($A196="","",IFERROR(INDEX('Ref_Crosswalk'!$C$2:$C$500,MATCH($A196,'Ref_Crosswalk'!$A$2:$A$500,0)),""))</f>
        <v/>
      </c>
      <c r="Y196" s="25">
        <f>IF($A196="",0,IF(AND(OR('Out_Dashboard'!$C$5="",$W196='Out_Dashboard'!$C$5),OR('Out_Dashboard'!$C$6="",$X196='Out_Dashboard'!$C$6),OR('Out_Dashboard'!$C$7="",$B196='Out_Dashboard'!$C$7)),1,0))</f>
        <v/>
      </c>
      <c r="Z196" s="25">
        <f>IF(AND($A196&lt;&gt;"",$S196&lt;&gt;"",$Y196=1),SUMPRODUCT(($A$8:$A196&lt;&gt;"")*($S$8:$S196&lt;&gt;"")*($Y$8:$Y196=1)),"")</f>
        <v/>
      </c>
      <c r="AA196" s="25">
        <f>IF(AND($A196&lt;&gt;"",$T196&lt;&gt;"",$Y196=1),SUMPRODUCT(($A$8:$A196&lt;&gt;"")*($T$8:$T196&lt;&gt;"")*($Y$8:$Y196=1)),"")</f>
        <v/>
      </c>
    </row>
    <row r="197">
      <c r="A197" s="13" t="n"/>
      <c r="B197" s="13" t="n"/>
      <c r="C197" s="26" t="n"/>
      <c r="D197" s="26" t="n"/>
      <c r="E197" s="26" t="n"/>
      <c r="F197" s="13" t="n"/>
      <c r="G197" s="13" t="n"/>
      <c r="H197" s="13" t="n"/>
      <c r="I197" s="13" t="n"/>
      <c r="J197" s="23">
        <f>IF($A197="","",IFERROR(INDEX('Ref_Crosswalk'!$F$2:$F$500,MATCH($A197,'Ref_Crosswalk'!$A$2:$A$500,0)),"UNKNOWN"))</f>
        <v/>
      </c>
      <c r="K197" s="24">
        <f>IF($A197="","",IFERROR(INDEX('Ref_Tolerance'!$B$2:$B$9,MATCH($J197,'Ref_Tolerance'!$A$2:$A$9,0)),""))</f>
        <v/>
      </c>
      <c r="L197" s="23">
        <f>IF($A197="","",IFERROR(INDEX('Ref_Tolerance'!$D$2:$D$9,MATCH($J197,'Ref_Tolerance'!$A$2:$A$9,0)),""))</f>
        <v/>
      </c>
      <c r="M197" s="24">
        <f>IF($A197="","",IFERROR(ABS(N($D197))/N($C197),0))</f>
        <v/>
      </c>
      <c r="N197" s="24">
        <f>IF($A197="","",IFERROR(N($E197)/N($C197),0))</f>
        <v/>
      </c>
      <c r="O197" s="23">
        <f>IF($A197="",0,IFERROR(SUMPRODUCT(($A$8:$A$307=$A197)*($P$8:$P$307="FAIL")*($U$8:$U$307&gt;$V197)*($U$8:$U$307&lt;=$U197)),0))</f>
        <v/>
      </c>
      <c r="P197" s="23">
        <f>IF($A197="","",IFERROR(IF(NOT(ISNUMBER($K197)),"CHECK",IF($L197="MARGIN",IF($N197&lt;=$K197,"PASS","FAIL"),IF($M197&lt;=$K197,"PASS","FAIL"))),"CHECK"))</f>
        <v/>
      </c>
      <c r="Q197" s="23">
        <f>IF($A197="","",IFERROR(INDEX('Ref_Tolerance'!$E$2:$E$9,MATCH($J197,'Ref_Tolerance'!$A$2:$A$9,0)),""))</f>
        <v/>
      </c>
      <c r="R197" s="23">
        <f>IF($A197="","",IFERROR(IF($O197=0,"CLEAR",IF($O197=1,"MFR DUE - MANAGER",IF($O197=2,"MFR DUE - FSS/CC SIGNATURE REQUIRED","INVESTIGATION + REPORT OF SURVEY; MSG/CC NOTIFIED"))),""))</f>
        <v/>
      </c>
      <c r="S197" s="23">
        <f>IF($A197="","",IF($O197=2,"WATCH - ONE MORE MISS TRIGGERS INVESTIGATION",""))</f>
        <v/>
      </c>
      <c r="T197" s="23">
        <f>IF($A197="","",IFERROR(IF(AND($O197&gt;=1,$F197&lt;&gt;"Y"),"MFR NOT SUBMITTED",IF(AND($O197&gt;=2,$G197&lt;&gt;"Y"),"FSS/CC SIGNATURE MISSING",IF(AND($O197&gt;=3,$H197&lt;&gt;"Y"),"INVESTIGATION NOT OPENED",""))),""))</f>
        <v/>
      </c>
      <c r="U197" s="25">
        <f>IF($A197="",0,IFERROR(MATCH($B197,'Ref_Calendar'!$A$2:$A$500,0),0))</f>
        <v/>
      </c>
      <c r="V197" s="25">
        <f>IF($A197="",0,IFERROR(SUMPRODUCT(MAX(($A$8:$A$307=$A197)*($P$8:$P$307="PASS")*($U$8:$U$307&lt;=$U197)*$U$8:$U$307)),0))</f>
        <v/>
      </c>
      <c r="W197" s="25">
        <f>IF($A197="","",IFERROR(INDEX('Ref_Crosswalk'!$E$2:$E$500,MATCH($A197,'Ref_Crosswalk'!$A$2:$A$500,0)),""))</f>
        <v/>
      </c>
      <c r="X197" s="25">
        <f>IF($A197="","",IFERROR(INDEX('Ref_Crosswalk'!$C$2:$C$500,MATCH($A197,'Ref_Crosswalk'!$A$2:$A$500,0)),""))</f>
        <v/>
      </c>
      <c r="Y197" s="25">
        <f>IF($A197="",0,IF(AND(OR('Out_Dashboard'!$C$5="",$W197='Out_Dashboard'!$C$5),OR('Out_Dashboard'!$C$6="",$X197='Out_Dashboard'!$C$6),OR('Out_Dashboard'!$C$7="",$B197='Out_Dashboard'!$C$7)),1,0))</f>
        <v/>
      </c>
      <c r="Z197" s="25">
        <f>IF(AND($A197&lt;&gt;"",$S197&lt;&gt;"",$Y197=1),SUMPRODUCT(($A$8:$A197&lt;&gt;"")*($S$8:$S197&lt;&gt;"")*($Y$8:$Y197=1)),"")</f>
        <v/>
      </c>
      <c r="AA197" s="25">
        <f>IF(AND($A197&lt;&gt;"",$T197&lt;&gt;"",$Y197=1),SUMPRODUCT(($A$8:$A197&lt;&gt;"")*($T$8:$T197&lt;&gt;"")*($Y$8:$Y197=1)),"")</f>
        <v/>
      </c>
    </row>
    <row r="198">
      <c r="A198" s="13" t="n"/>
      <c r="B198" s="13" t="n"/>
      <c r="C198" s="26" t="n"/>
      <c r="D198" s="26" t="n"/>
      <c r="E198" s="26" t="n"/>
      <c r="F198" s="13" t="n"/>
      <c r="G198" s="13" t="n"/>
      <c r="H198" s="13" t="n"/>
      <c r="I198" s="13" t="n"/>
      <c r="J198" s="23">
        <f>IF($A198="","",IFERROR(INDEX('Ref_Crosswalk'!$F$2:$F$500,MATCH($A198,'Ref_Crosswalk'!$A$2:$A$500,0)),"UNKNOWN"))</f>
        <v/>
      </c>
      <c r="K198" s="24">
        <f>IF($A198="","",IFERROR(INDEX('Ref_Tolerance'!$B$2:$B$9,MATCH($J198,'Ref_Tolerance'!$A$2:$A$9,0)),""))</f>
        <v/>
      </c>
      <c r="L198" s="23">
        <f>IF($A198="","",IFERROR(INDEX('Ref_Tolerance'!$D$2:$D$9,MATCH($J198,'Ref_Tolerance'!$A$2:$A$9,0)),""))</f>
        <v/>
      </c>
      <c r="M198" s="24">
        <f>IF($A198="","",IFERROR(ABS(N($D198))/N($C198),0))</f>
        <v/>
      </c>
      <c r="N198" s="24">
        <f>IF($A198="","",IFERROR(N($E198)/N($C198),0))</f>
        <v/>
      </c>
      <c r="O198" s="23">
        <f>IF($A198="",0,IFERROR(SUMPRODUCT(($A$8:$A$307=$A198)*($P$8:$P$307="FAIL")*($U$8:$U$307&gt;$V198)*($U$8:$U$307&lt;=$U198)),0))</f>
        <v/>
      </c>
      <c r="P198" s="23">
        <f>IF($A198="","",IFERROR(IF(NOT(ISNUMBER($K198)),"CHECK",IF($L198="MARGIN",IF($N198&lt;=$K198,"PASS","FAIL"),IF($M198&lt;=$K198,"PASS","FAIL"))),"CHECK"))</f>
        <v/>
      </c>
      <c r="Q198" s="23">
        <f>IF($A198="","",IFERROR(INDEX('Ref_Tolerance'!$E$2:$E$9,MATCH($J198,'Ref_Tolerance'!$A$2:$A$9,0)),""))</f>
        <v/>
      </c>
      <c r="R198" s="23">
        <f>IF($A198="","",IFERROR(IF($O198=0,"CLEAR",IF($O198=1,"MFR DUE - MANAGER",IF($O198=2,"MFR DUE - FSS/CC SIGNATURE REQUIRED","INVESTIGATION + REPORT OF SURVEY; MSG/CC NOTIFIED"))),""))</f>
        <v/>
      </c>
      <c r="S198" s="23">
        <f>IF($A198="","",IF($O198=2,"WATCH - ONE MORE MISS TRIGGERS INVESTIGATION",""))</f>
        <v/>
      </c>
      <c r="T198" s="23">
        <f>IF($A198="","",IFERROR(IF(AND($O198&gt;=1,$F198&lt;&gt;"Y"),"MFR NOT SUBMITTED",IF(AND($O198&gt;=2,$G198&lt;&gt;"Y"),"FSS/CC SIGNATURE MISSING",IF(AND($O198&gt;=3,$H198&lt;&gt;"Y"),"INVESTIGATION NOT OPENED",""))),""))</f>
        <v/>
      </c>
      <c r="U198" s="25">
        <f>IF($A198="",0,IFERROR(MATCH($B198,'Ref_Calendar'!$A$2:$A$500,0),0))</f>
        <v/>
      </c>
      <c r="V198" s="25">
        <f>IF($A198="",0,IFERROR(SUMPRODUCT(MAX(($A$8:$A$307=$A198)*($P$8:$P$307="PASS")*($U$8:$U$307&lt;=$U198)*$U$8:$U$307)),0))</f>
        <v/>
      </c>
      <c r="W198" s="25">
        <f>IF($A198="","",IFERROR(INDEX('Ref_Crosswalk'!$E$2:$E$500,MATCH($A198,'Ref_Crosswalk'!$A$2:$A$500,0)),""))</f>
        <v/>
      </c>
      <c r="X198" s="25">
        <f>IF($A198="","",IFERROR(INDEX('Ref_Crosswalk'!$C$2:$C$500,MATCH($A198,'Ref_Crosswalk'!$A$2:$A$500,0)),""))</f>
        <v/>
      </c>
      <c r="Y198" s="25">
        <f>IF($A198="",0,IF(AND(OR('Out_Dashboard'!$C$5="",$W198='Out_Dashboard'!$C$5),OR('Out_Dashboard'!$C$6="",$X198='Out_Dashboard'!$C$6),OR('Out_Dashboard'!$C$7="",$B198='Out_Dashboard'!$C$7)),1,0))</f>
        <v/>
      </c>
      <c r="Z198" s="25">
        <f>IF(AND($A198&lt;&gt;"",$S198&lt;&gt;"",$Y198=1),SUMPRODUCT(($A$8:$A198&lt;&gt;"")*($S$8:$S198&lt;&gt;"")*($Y$8:$Y198=1)),"")</f>
        <v/>
      </c>
      <c r="AA198" s="25">
        <f>IF(AND($A198&lt;&gt;"",$T198&lt;&gt;"",$Y198=1),SUMPRODUCT(($A$8:$A198&lt;&gt;"")*($T$8:$T198&lt;&gt;"")*($Y$8:$Y198=1)),"")</f>
        <v/>
      </c>
    </row>
    <row r="199">
      <c r="A199" s="13" t="n"/>
      <c r="B199" s="13" t="n"/>
      <c r="C199" s="26" t="n"/>
      <c r="D199" s="26" t="n"/>
      <c r="E199" s="26" t="n"/>
      <c r="F199" s="13" t="n"/>
      <c r="G199" s="13" t="n"/>
      <c r="H199" s="13" t="n"/>
      <c r="I199" s="13" t="n"/>
      <c r="J199" s="23">
        <f>IF($A199="","",IFERROR(INDEX('Ref_Crosswalk'!$F$2:$F$500,MATCH($A199,'Ref_Crosswalk'!$A$2:$A$500,0)),"UNKNOWN"))</f>
        <v/>
      </c>
      <c r="K199" s="24">
        <f>IF($A199="","",IFERROR(INDEX('Ref_Tolerance'!$B$2:$B$9,MATCH($J199,'Ref_Tolerance'!$A$2:$A$9,0)),""))</f>
        <v/>
      </c>
      <c r="L199" s="23">
        <f>IF($A199="","",IFERROR(INDEX('Ref_Tolerance'!$D$2:$D$9,MATCH($J199,'Ref_Tolerance'!$A$2:$A$9,0)),""))</f>
        <v/>
      </c>
      <c r="M199" s="24">
        <f>IF($A199="","",IFERROR(ABS(N($D199))/N($C199),0))</f>
        <v/>
      </c>
      <c r="N199" s="24">
        <f>IF($A199="","",IFERROR(N($E199)/N($C199),0))</f>
        <v/>
      </c>
      <c r="O199" s="23">
        <f>IF($A199="",0,IFERROR(SUMPRODUCT(($A$8:$A$307=$A199)*($P$8:$P$307="FAIL")*($U$8:$U$307&gt;$V199)*($U$8:$U$307&lt;=$U199)),0))</f>
        <v/>
      </c>
      <c r="P199" s="23">
        <f>IF($A199="","",IFERROR(IF(NOT(ISNUMBER($K199)),"CHECK",IF($L199="MARGIN",IF($N199&lt;=$K199,"PASS","FAIL"),IF($M199&lt;=$K199,"PASS","FAIL"))),"CHECK"))</f>
        <v/>
      </c>
      <c r="Q199" s="23">
        <f>IF($A199="","",IFERROR(INDEX('Ref_Tolerance'!$E$2:$E$9,MATCH($J199,'Ref_Tolerance'!$A$2:$A$9,0)),""))</f>
        <v/>
      </c>
      <c r="R199" s="23">
        <f>IF($A199="","",IFERROR(IF($O199=0,"CLEAR",IF($O199=1,"MFR DUE - MANAGER",IF($O199=2,"MFR DUE - FSS/CC SIGNATURE REQUIRED","INVESTIGATION + REPORT OF SURVEY; MSG/CC NOTIFIED"))),""))</f>
        <v/>
      </c>
      <c r="S199" s="23">
        <f>IF($A199="","",IF($O199=2,"WATCH - ONE MORE MISS TRIGGERS INVESTIGATION",""))</f>
        <v/>
      </c>
      <c r="T199" s="23">
        <f>IF($A199="","",IFERROR(IF(AND($O199&gt;=1,$F199&lt;&gt;"Y"),"MFR NOT SUBMITTED",IF(AND($O199&gt;=2,$G199&lt;&gt;"Y"),"FSS/CC SIGNATURE MISSING",IF(AND($O199&gt;=3,$H199&lt;&gt;"Y"),"INVESTIGATION NOT OPENED",""))),""))</f>
        <v/>
      </c>
      <c r="U199" s="25">
        <f>IF($A199="",0,IFERROR(MATCH($B199,'Ref_Calendar'!$A$2:$A$500,0),0))</f>
        <v/>
      </c>
      <c r="V199" s="25">
        <f>IF($A199="",0,IFERROR(SUMPRODUCT(MAX(($A$8:$A$307=$A199)*($P$8:$P$307="PASS")*($U$8:$U$307&lt;=$U199)*$U$8:$U$307)),0))</f>
        <v/>
      </c>
      <c r="W199" s="25">
        <f>IF($A199="","",IFERROR(INDEX('Ref_Crosswalk'!$E$2:$E$500,MATCH($A199,'Ref_Crosswalk'!$A$2:$A$500,0)),""))</f>
        <v/>
      </c>
      <c r="X199" s="25">
        <f>IF($A199="","",IFERROR(INDEX('Ref_Crosswalk'!$C$2:$C$500,MATCH($A199,'Ref_Crosswalk'!$A$2:$A$500,0)),""))</f>
        <v/>
      </c>
      <c r="Y199" s="25">
        <f>IF($A199="",0,IF(AND(OR('Out_Dashboard'!$C$5="",$W199='Out_Dashboard'!$C$5),OR('Out_Dashboard'!$C$6="",$X199='Out_Dashboard'!$C$6),OR('Out_Dashboard'!$C$7="",$B199='Out_Dashboard'!$C$7)),1,0))</f>
        <v/>
      </c>
      <c r="Z199" s="25">
        <f>IF(AND($A199&lt;&gt;"",$S199&lt;&gt;"",$Y199=1),SUMPRODUCT(($A$8:$A199&lt;&gt;"")*($S$8:$S199&lt;&gt;"")*($Y$8:$Y199=1)),"")</f>
        <v/>
      </c>
      <c r="AA199" s="25">
        <f>IF(AND($A199&lt;&gt;"",$T199&lt;&gt;"",$Y199=1),SUMPRODUCT(($A$8:$A199&lt;&gt;"")*($T$8:$T199&lt;&gt;"")*($Y$8:$Y199=1)),"")</f>
        <v/>
      </c>
    </row>
    <row r="200">
      <c r="A200" s="13" t="n"/>
      <c r="B200" s="13" t="n"/>
      <c r="C200" s="26" t="n"/>
      <c r="D200" s="26" t="n"/>
      <c r="E200" s="26" t="n"/>
      <c r="F200" s="13" t="n"/>
      <c r="G200" s="13" t="n"/>
      <c r="H200" s="13" t="n"/>
      <c r="I200" s="13" t="n"/>
      <c r="J200" s="23">
        <f>IF($A200="","",IFERROR(INDEX('Ref_Crosswalk'!$F$2:$F$500,MATCH($A200,'Ref_Crosswalk'!$A$2:$A$500,0)),"UNKNOWN"))</f>
        <v/>
      </c>
      <c r="K200" s="24">
        <f>IF($A200="","",IFERROR(INDEX('Ref_Tolerance'!$B$2:$B$9,MATCH($J200,'Ref_Tolerance'!$A$2:$A$9,0)),""))</f>
        <v/>
      </c>
      <c r="L200" s="23">
        <f>IF($A200="","",IFERROR(INDEX('Ref_Tolerance'!$D$2:$D$9,MATCH($J200,'Ref_Tolerance'!$A$2:$A$9,0)),""))</f>
        <v/>
      </c>
      <c r="M200" s="24">
        <f>IF($A200="","",IFERROR(ABS(N($D200))/N($C200),0))</f>
        <v/>
      </c>
      <c r="N200" s="24">
        <f>IF($A200="","",IFERROR(N($E200)/N($C200),0))</f>
        <v/>
      </c>
      <c r="O200" s="23">
        <f>IF($A200="",0,IFERROR(SUMPRODUCT(($A$8:$A$307=$A200)*($P$8:$P$307="FAIL")*($U$8:$U$307&gt;$V200)*($U$8:$U$307&lt;=$U200)),0))</f>
        <v/>
      </c>
      <c r="P200" s="23">
        <f>IF($A200="","",IFERROR(IF(NOT(ISNUMBER($K200)),"CHECK",IF($L200="MARGIN",IF($N200&lt;=$K200,"PASS","FAIL"),IF($M200&lt;=$K200,"PASS","FAIL"))),"CHECK"))</f>
        <v/>
      </c>
      <c r="Q200" s="23">
        <f>IF($A200="","",IFERROR(INDEX('Ref_Tolerance'!$E$2:$E$9,MATCH($J200,'Ref_Tolerance'!$A$2:$A$9,0)),""))</f>
        <v/>
      </c>
      <c r="R200" s="23">
        <f>IF($A200="","",IFERROR(IF($O200=0,"CLEAR",IF($O200=1,"MFR DUE - MANAGER",IF($O200=2,"MFR DUE - FSS/CC SIGNATURE REQUIRED","INVESTIGATION + REPORT OF SURVEY; MSG/CC NOTIFIED"))),""))</f>
        <v/>
      </c>
      <c r="S200" s="23">
        <f>IF($A200="","",IF($O200=2,"WATCH - ONE MORE MISS TRIGGERS INVESTIGATION",""))</f>
        <v/>
      </c>
      <c r="T200" s="23">
        <f>IF($A200="","",IFERROR(IF(AND($O200&gt;=1,$F200&lt;&gt;"Y"),"MFR NOT SUBMITTED",IF(AND($O200&gt;=2,$G200&lt;&gt;"Y"),"FSS/CC SIGNATURE MISSING",IF(AND($O200&gt;=3,$H200&lt;&gt;"Y"),"INVESTIGATION NOT OPENED",""))),""))</f>
        <v/>
      </c>
      <c r="U200" s="25">
        <f>IF($A200="",0,IFERROR(MATCH($B200,'Ref_Calendar'!$A$2:$A$500,0),0))</f>
        <v/>
      </c>
      <c r="V200" s="25">
        <f>IF($A200="",0,IFERROR(SUMPRODUCT(MAX(($A$8:$A$307=$A200)*($P$8:$P$307="PASS")*($U$8:$U$307&lt;=$U200)*$U$8:$U$307)),0))</f>
        <v/>
      </c>
      <c r="W200" s="25">
        <f>IF($A200="","",IFERROR(INDEX('Ref_Crosswalk'!$E$2:$E$500,MATCH($A200,'Ref_Crosswalk'!$A$2:$A$500,0)),""))</f>
        <v/>
      </c>
      <c r="X200" s="25">
        <f>IF($A200="","",IFERROR(INDEX('Ref_Crosswalk'!$C$2:$C$500,MATCH($A200,'Ref_Crosswalk'!$A$2:$A$500,0)),""))</f>
        <v/>
      </c>
      <c r="Y200" s="25">
        <f>IF($A200="",0,IF(AND(OR('Out_Dashboard'!$C$5="",$W200='Out_Dashboard'!$C$5),OR('Out_Dashboard'!$C$6="",$X200='Out_Dashboard'!$C$6),OR('Out_Dashboard'!$C$7="",$B200='Out_Dashboard'!$C$7)),1,0))</f>
        <v/>
      </c>
      <c r="Z200" s="25">
        <f>IF(AND($A200&lt;&gt;"",$S200&lt;&gt;"",$Y200=1),SUMPRODUCT(($A$8:$A200&lt;&gt;"")*($S$8:$S200&lt;&gt;"")*($Y$8:$Y200=1)),"")</f>
        <v/>
      </c>
      <c r="AA200" s="25">
        <f>IF(AND($A200&lt;&gt;"",$T200&lt;&gt;"",$Y200=1),SUMPRODUCT(($A$8:$A200&lt;&gt;"")*($T$8:$T200&lt;&gt;"")*($Y$8:$Y200=1)),"")</f>
        <v/>
      </c>
    </row>
    <row r="201">
      <c r="A201" s="13" t="n"/>
      <c r="B201" s="13" t="n"/>
      <c r="C201" s="26" t="n"/>
      <c r="D201" s="26" t="n"/>
      <c r="E201" s="26" t="n"/>
      <c r="F201" s="13" t="n"/>
      <c r="G201" s="13" t="n"/>
      <c r="H201" s="13" t="n"/>
      <c r="I201" s="13" t="n"/>
      <c r="J201" s="23">
        <f>IF($A201="","",IFERROR(INDEX('Ref_Crosswalk'!$F$2:$F$500,MATCH($A201,'Ref_Crosswalk'!$A$2:$A$500,0)),"UNKNOWN"))</f>
        <v/>
      </c>
      <c r="K201" s="24">
        <f>IF($A201="","",IFERROR(INDEX('Ref_Tolerance'!$B$2:$B$9,MATCH($J201,'Ref_Tolerance'!$A$2:$A$9,0)),""))</f>
        <v/>
      </c>
      <c r="L201" s="23">
        <f>IF($A201="","",IFERROR(INDEX('Ref_Tolerance'!$D$2:$D$9,MATCH($J201,'Ref_Tolerance'!$A$2:$A$9,0)),""))</f>
        <v/>
      </c>
      <c r="M201" s="24">
        <f>IF($A201="","",IFERROR(ABS(N($D201))/N($C201),0))</f>
        <v/>
      </c>
      <c r="N201" s="24">
        <f>IF($A201="","",IFERROR(N($E201)/N($C201),0))</f>
        <v/>
      </c>
      <c r="O201" s="23">
        <f>IF($A201="",0,IFERROR(SUMPRODUCT(($A$8:$A$307=$A201)*($P$8:$P$307="FAIL")*($U$8:$U$307&gt;$V201)*($U$8:$U$307&lt;=$U201)),0))</f>
        <v/>
      </c>
      <c r="P201" s="23">
        <f>IF($A201="","",IFERROR(IF(NOT(ISNUMBER($K201)),"CHECK",IF($L201="MARGIN",IF($N201&lt;=$K201,"PASS","FAIL"),IF($M201&lt;=$K201,"PASS","FAIL"))),"CHECK"))</f>
        <v/>
      </c>
      <c r="Q201" s="23">
        <f>IF($A201="","",IFERROR(INDEX('Ref_Tolerance'!$E$2:$E$9,MATCH($J201,'Ref_Tolerance'!$A$2:$A$9,0)),""))</f>
        <v/>
      </c>
      <c r="R201" s="23">
        <f>IF($A201="","",IFERROR(IF($O201=0,"CLEAR",IF($O201=1,"MFR DUE - MANAGER",IF($O201=2,"MFR DUE - FSS/CC SIGNATURE REQUIRED","INVESTIGATION + REPORT OF SURVEY; MSG/CC NOTIFIED"))),""))</f>
        <v/>
      </c>
      <c r="S201" s="23">
        <f>IF($A201="","",IF($O201=2,"WATCH - ONE MORE MISS TRIGGERS INVESTIGATION",""))</f>
        <v/>
      </c>
      <c r="T201" s="23">
        <f>IF($A201="","",IFERROR(IF(AND($O201&gt;=1,$F201&lt;&gt;"Y"),"MFR NOT SUBMITTED",IF(AND($O201&gt;=2,$G201&lt;&gt;"Y"),"FSS/CC SIGNATURE MISSING",IF(AND($O201&gt;=3,$H201&lt;&gt;"Y"),"INVESTIGATION NOT OPENED",""))),""))</f>
        <v/>
      </c>
      <c r="U201" s="25">
        <f>IF($A201="",0,IFERROR(MATCH($B201,'Ref_Calendar'!$A$2:$A$500,0),0))</f>
        <v/>
      </c>
      <c r="V201" s="25">
        <f>IF($A201="",0,IFERROR(SUMPRODUCT(MAX(($A$8:$A$307=$A201)*($P$8:$P$307="PASS")*($U$8:$U$307&lt;=$U201)*$U$8:$U$307)),0))</f>
        <v/>
      </c>
      <c r="W201" s="25">
        <f>IF($A201="","",IFERROR(INDEX('Ref_Crosswalk'!$E$2:$E$500,MATCH($A201,'Ref_Crosswalk'!$A$2:$A$500,0)),""))</f>
        <v/>
      </c>
      <c r="X201" s="25">
        <f>IF($A201="","",IFERROR(INDEX('Ref_Crosswalk'!$C$2:$C$500,MATCH($A201,'Ref_Crosswalk'!$A$2:$A$500,0)),""))</f>
        <v/>
      </c>
      <c r="Y201" s="25">
        <f>IF($A201="",0,IF(AND(OR('Out_Dashboard'!$C$5="",$W201='Out_Dashboard'!$C$5),OR('Out_Dashboard'!$C$6="",$X201='Out_Dashboard'!$C$6),OR('Out_Dashboard'!$C$7="",$B201='Out_Dashboard'!$C$7)),1,0))</f>
        <v/>
      </c>
      <c r="Z201" s="25">
        <f>IF(AND($A201&lt;&gt;"",$S201&lt;&gt;"",$Y201=1),SUMPRODUCT(($A$8:$A201&lt;&gt;"")*($S$8:$S201&lt;&gt;"")*($Y$8:$Y201=1)),"")</f>
        <v/>
      </c>
      <c r="AA201" s="25">
        <f>IF(AND($A201&lt;&gt;"",$T201&lt;&gt;"",$Y201=1),SUMPRODUCT(($A$8:$A201&lt;&gt;"")*($T$8:$T201&lt;&gt;"")*($Y$8:$Y201=1)),"")</f>
        <v/>
      </c>
    </row>
    <row r="202">
      <c r="A202" s="13" t="n"/>
      <c r="B202" s="13" t="n"/>
      <c r="C202" s="26" t="n"/>
      <c r="D202" s="26" t="n"/>
      <c r="E202" s="26" t="n"/>
      <c r="F202" s="13" t="n"/>
      <c r="G202" s="13" t="n"/>
      <c r="H202" s="13" t="n"/>
      <c r="I202" s="13" t="n"/>
      <c r="J202" s="23">
        <f>IF($A202="","",IFERROR(INDEX('Ref_Crosswalk'!$F$2:$F$500,MATCH($A202,'Ref_Crosswalk'!$A$2:$A$500,0)),"UNKNOWN"))</f>
        <v/>
      </c>
      <c r="K202" s="24">
        <f>IF($A202="","",IFERROR(INDEX('Ref_Tolerance'!$B$2:$B$9,MATCH($J202,'Ref_Tolerance'!$A$2:$A$9,0)),""))</f>
        <v/>
      </c>
      <c r="L202" s="23">
        <f>IF($A202="","",IFERROR(INDEX('Ref_Tolerance'!$D$2:$D$9,MATCH($J202,'Ref_Tolerance'!$A$2:$A$9,0)),""))</f>
        <v/>
      </c>
      <c r="M202" s="24">
        <f>IF($A202="","",IFERROR(ABS(N($D202))/N($C202),0))</f>
        <v/>
      </c>
      <c r="N202" s="24">
        <f>IF($A202="","",IFERROR(N($E202)/N($C202),0))</f>
        <v/>
      </c>
      <c r="O202" s="23">
        <f>IF($A202="",0,IFERROR(SUMPRODUCT(($A$8:$A$307=$A202)*($P$8:$P$307="FAIL")*($U$8:$U$307&gt;$V202)*($U$8:$U$307&lt;=$U202)),0))</f>
        <v/>
      </c>
      <c r="P202" s="23">
        <f>IF($A202="","",IFERROR(IF(NOT(ISNUMBER($K202)),"CHECK",IF($L202="MARGIN",IF($N202&lt;=$K202,"PASS","FAIL"),IF($M202&lt;=$K202,"PASS","FAIL"))),"CHECK"))</f>
        <v/>
      </c>
      <c r="Q202" s="23">
        <f>IF($A202="","",IFERROR(INDEX('Ref_Tolerance'!$E$2:$E$9,MATCH($J202,'Ref_Tolerance'!$A$2:$A$9,0)),""))</f>
        <v/>
      </c>
      <c r="R202" s="23">
        <f>IF($A202="","",IFERROR(IF($O202=0,"CLEAR",IF($O202=1,"MFR DUE - MANAGER",IF($O202=2,"MFR DUE - FSS/CC SIGNATURE REQUIRED","INVESTIGATION + REPORT OF SURVEY; MSG/CC NOTIFIED"))),""))</f>
        <v/>
      </c>
      <c r="S202" s="23">
        <f>IF($A202="","",IF($O202=2,"WATCH - ONE MORE MISS TRIGGERS INVESTIGATION",""))</f>
        <v/>
      </c>
      <c r="T202" s="23">
        <f>IF($A202="","",IFERROR(IF(AND($O202&gt;=1,$F202&lt;&gt;"Y"),"MFR NOT SUBMITTED",IF(AND($O202&gt;=2,$G202&lt;&gt;"Y"),"FSS/CC SIGNATURE MISSING",IF(AND($O202&gt;=3,$H202&lt;&gt;"Y"),"INVESTIGATION NOT OPENED",""))),""))</f>
        <v/>
      </c>
      <c r="U202" s="25">
        <f>IF($A202="",0,IFERROR(MATCH($B202,'Ref_Calendar'!$A$2:$A$500,0),0))</f>
        <v/>
      </c>
      <c r="V202" s="25">
        <f>IF($A202="",0,IFERROR(SUMPRODUCT(MAX(($A$8:$A$307=$A202)*($P$8:$P$307="PASS")*($U$8:$U$307&lt;=$U202)*$U$8:$U$307)),0))</f>
        <v/>
      </c>
      <c r="W202" s="25">
        <f>IF($A202="","",IFERROR(INDEX('Ref_Crosswalk'!$E$2:$E$500,MATCH($A202,'Ref_Crosswalk'!$A$2:$A$500,0)),""))</f>
        <v/>
      </c>
      <c r="X202" s="25">
        <f>IF($A202="","",IFERROR(INDEX('Ref_Crosswalk'!$C$2:$C$500,MATCH($A202,'Ref_Crosswalk'!$A$2:$A$500,0)),""))</f>
        <v/>
      </c>
      <c r="Y202" s="25">
        <f>IF($A202="",0,IF(AND(OR('Out_Dashboard'!$C$5="",$W202='Out_Dashboard'!$C$5),OR('Out_Dashboard'!$C$6="",$X202='Out_Dashboard'!$C$6),OR('Out_Dashboard'!$C$7="",$B202='Out_Dashboard'!$C$7)),1,0))</f>
        <v/>
      </c>
      <c r="Z202" s="25">
        <f>IF(AND($A202&lt;&gt;"",$S202&lt;&gt;"",$Y202=1),SUMPRODUCT(($A$8:$A202&lt;&gt;"")*($S$8:$S202&lt;&gt;"")*($Y$8:$Y202=1)),"")</f>
        <v/>
      </c>
      <c r="AA202" s="25">
        <f>IF(AND($A202&lt;&gt;"",$T202&lt;&gt;"",$Y202=1),SUMPRODUCT(($A$8:$A202&lt;&gt;"")*($T$8:$T202&lt;&gt;"")*($Y$8:$Y202=1)),"")</f>
        <v/>
      </c>
    </row>
    <row r="203">
      <c r="A203" s="13" t="n"/>
      <c r="B203" s="13" t="n"/>
      <c r="C203" s="26" t="n"/>
      <c r="D203" s="26" t="n"/>
      <c r="E203" s="26" t="n"/>
      <c r="F203" s="13" t="n"/>
      <c r="G203" s="13" t="n"/>
      <c r="H203" s="13" t="n"/>
      <c r="I203" s="13" t="n"/>
      <c r="J203" s="23">
        <f>IF($A203="","",IFERROR(INDEX('Ref_Crosswalk'!$F$2:$F$500,MATCH($A203,'Ref_Crosswalk'!$A$2:$A$500,0)),"UNKNOWN"))</f>
        <v/>
      </c>
      <c r="K203" s="24">
        <f>IF($A203="","",IFERROR(INDEX('Ref_Tolerance'!$B$2:$B$9,MATCH($J203,'Ref_Tolerance'!$A$2:$A$9,0)),""))</f>
        <v/>
      </c>
      <c r="L203" s="23">
        <f>IF($A203="","",IFERROR(INDEX('Ref_Tolerance'!$D$2:$D$9,MATCH($J203,'Ref_Tolerance'!$A$2:$A$9,0)),""))</f>
        <v/>
      </c>
      <c r="M203" s="24">
        <f>IF($A203="","",IFERROR(ABS(N($D203))/N($C203),0))</f>
        <v/>
      </c>
      <c r="N203" s="24">
        <f>IF($A203="","",IFERROR(N($E203)/N($C203),0))</f>
        <v/>
      </c>
      <c r="O203" s="23">
        <f>IF($A203="",0,IFERROR(SUMPRODUCT(($A$8:$A$307=$A203)*($P$8:$P$307="FAIL")*($U$8:$U$307&gt;$V203)*($U$8:$U$307&lt;=$U203)),0))</f>
        <v/>
      </c>
      <c r="P203" s="23">
        <f>IF($A203="","",IFERROR(IF(NOT(ISNUMBER($K203)),"CHECK",IF($L203="MARGIN",IF($N203&lt;=$K203,"PASS","FAIL"),IF($M203&lt;=$K203,"PASS","FAIL"))),"CHECK"))</f>
        <v/>
      </c>
      <c r="Q203" s="23">
        <f>IF($A203="","",IFERROR(INDEX('Ref_Tolerance'!$E$2:$E$9,MATCH($J203,'Ref_Tolerance'!$A$2:$A$9,0)),""))</f>
        <v/>
      </c>
      <c r="R203" s="23">
        <f>IF($A203="","",IFERROR(IF($O203=0,"CLEAR",IF($O203=1,"MFR DUE - MANAGER",IF($O203=2,"MFR DUE - FSS/CC SIGNATURE REQUIRED","INVESTIGATION + REPORT OF SURVEY; MSG/CC NOTIFIED"))),""))</f>
        <v/>
      </c>
      <c r="S203" s="23">
        <f>IF($A203="","",IF($O203=2,"WATCH - ONE MORE MISS TRIGGERS INVESTIGATION",""))</f>
        <v/>
      </c>
      <c r="T203" s="23">
        <f>IF($A203="","",IFERROR(IF(AND($O203&gt;=1,$F203&lt;&gt;"Y"),"MFR NOT SUBMITTED",IF(AND($O203&gt;=2,$G203&lt;&gt;"Y"),"FSS/CC SIGNATURE MISSING",IF(AND($O203&gt;=3,$H203&lt;&gt;"Y"),"INVESTIGATION NOT OPENED",""))),""))</f>
        <v/>
      </c>
      <c r="U203" s="25">
        <f>IF($A203="",0,IFERROR(MATCH($B203,'Ref_Calendar'!$A$2:$A$500,0),0))</f>
        <v/>
      </c>
      <c r="V203" s="25">
        <f>IF($A203="",0,IFERROR(SUMPRODUCT(MAX(($A$8:$A$307=$A203)*($P$8:$P$307="PASS")*($U$8:$U$307&lt;=$U203)*$U$8:$U$307)),0))</f>
        <v/>
      </c>
      <c r="W203" s="25">
        <f>IF($A203="","",IFERROR(INDEX('Ref_Crosswalk'!$E$2:$E$500,MATCH($A203,'Ref_Crosswalk'!$A$2:$A$500,0)),""))</f>
        <v/>
      </c>
      <c r="X203" s="25">
        <f>IF($A203="","",IFERROR(INDEX('Ref_Crosswalk'!$C$2:$C$500,MATCH($A203,'Ref_Crosswalk'!$A$2:$A$500,0)),""))</f>
        <v/>
      </c>
      <c r="Y203" s="25">
        <f>IF($A203="",0,IF(AND(OR('Out_Dashboard'!$C$5="",$W203='Out_Dashboard'!$C$5),OR('Out_Dashboard'!$C$6="",$X203='Out_Dashboard'!$C$6),OR('Out_Dashboard'!$C$7="",$B203='Out_Dashboard'!$C$7)),1,0))</f>
        <v/>
      </c>
      <c r="Z203" s="25">
        <f>IF(AND($A203&lt;&gt;"",$S203&lt;&gt;"",$Y203=1),SUMPRODUCT(($A$8:$A203&lt;&gt;"")*($S$8:$S203&lt;&gt;"")*($Y$8:$Y203=1)),"")</f>
        <v/>
      </c>
      <c r="AA203" s="25">
        <f>IF(AND($A203&lt;&gt;"",$T203&lt;&gt;"",$Y203=1),SUMPRODUCT(($A$8:$A203&lt;&gt;"")*($T$8:$T203&lt;&gt;"")*($Y$8:$Y203=1)),"")</f>
        <v/>
      </c>
    </row>
    <row r="204">
      <c r="A204" s="13" t="n"/>
      <c r="B204" s="13" t="n"/>
      <c r="C204" s="26" t="n"/>
      <c r="D204" s="26" t="n"/>
      <c r="E204" s="26" t="n"/>
      <c r="F204" s="13" t="n"/>
      <c r="G204" s="13" t="n"/>
      <c r="H204" s="13" t="n"/>
      <c r="I204" s="13" t="n"/>
      <c r="J204" s="23">
        <f>IF($A204="","",IFERROR(INDEX('Ref_Crosswalk'!$F$2:$F$500,MATCH($A204,'Ref_Crosswalk'!$A$2:$A$500,0)),"UNKNOWN"))</f>
        <v/>
      </c>
      <c r="K204" s="24">
        <f>IF($A204="","",IFERROR(INDEX('Ref_Tolerance'!$B$2:$B$9,MATCH($J204,'Ref_Tolerance'!$A$2:$A$9,0)),""))</f>
        <v/>
      </c>
      <c r="L204" s="23">
        <f>IF($A204="","",IFERROR(INDEX('Ref_Tolerance'!$D$2:$D$9,MATCH($J204,'Ref_Tolerance'!$A$2:$A$9,0)),""))</f>
        <v/>
      </c>
      <c r="M204" s="24">
        <f>IF($A204="","",IFERROR(ABS(N($D204))/N($C204),0))</f>
        <v/>
      </c>
      <c r="N204" s="24">
        <f>IF($A204="","",IFERROR(N($E204)/N($C204),0))</f>
        <v/>
      </c>
      <c r="O204" s="23">
        <f>IF($A204="",0,IFERROR(SUMPRODUCT(($A$8:$A$307=$A204)*($P$8:$P$307="FAIL")*($U$8:$U$307&gt;$V204)*($U$8:$U$307&lt;=$U204)),0))</f>
        <v/>
      </c>
      <c r="P204" s="23">
        <f>IF($A204="","",IFERROR(IF(NOT(ISNUMBER($K204)),"CHECK",IF($L204="MARGIN",IF($N204&lt;=$K204,"PASS","FAIL"),IF($M204&lt;=$K204,"PASS","FAIL"))),"CHECK"))</f>
        <v/>
      </c>
      <c r="Q204" s="23">
        <f>IF($A204="","",IFERROR(INDEX('Ref_Tolerance'!$E$2:$E$9,MATCH($J204,'Ref_Tolerance'!$A$2:$A$9,0)),""))</f>
        <v/>
      </c>
      <c r="R204" s="23">
        <f>IF($A204="","",IFERROR(IF($O204=0,"CLEAR",IF($O204=1,"MFR DUE - MANAGER",IF($O204=2,"MFR DUE - FSS/CC SIGNATURE REQUIRED","INVESTIGATION + REPORT OF SURVEY; MSG/CC NOTIFIED"))),""))</f>
        <v/>
      </c>
      <c r="S204" s="23">
        <f>IF($A204="","",IF($O204=2,"WATCH - ONE MORE MISS TRIGGERS INVESTIGATION",""))</f>
        <v/>
      </c>
      <c r="T204" s="23">
        <f>IF($A204="","",IFERROR(IF(AND($O204&gt;=1,$F204&lt;&gt;"Y"),"MFR NOT SUBMITTED",IF(AND($O204&gt;=2,$G204&lt;&gt;"Y"),"FSS/CC SIGNATURE MISSING",IF(AND($O204&gt;=3,$H204&lt;&gt;"Y"),"INVESTIGATION NOT OPENED",""))),""))</f>
        <v/>
      </c>
      <c r="U204" s="25">
        <f>IF($A204="",0,IFERROR(MATCH($B204,'Ref_Calendar'!$A$2:$A$500,0),0))</f>
        <v/>
      </c>
      <c r="V204" s="25">
        <f>IF($A204="",0,IFERROR(SUMPRODUCT(MAX(($A$8:$A$307=$A204)*($P$8:$P$307="PASS")*($U$8:$U$307&lt;=$U204)*$U$8:$U$307)),0))</f>
        <v/>
      </c>
      <c r="W204" s="25">
        <f>IF($A204="","",IFERROR(INDEX('Ref_Crosswalk'!$E$2:$E$500,MATCH($A204,'Ref_Crosswalk'!$A$2:$A$500,0)),""))</f>
        <v/>
      </c>
      <c r="X204" s="25">
        <f>IF($A204="","",IFERROR(INDEX('Ref_Crosswalk'!$C$2:$C$500,MATCH($A204,'Ref_Crosswalk'!$A$2:$A$500,0)),""))</f>
        <v/>
      </c>
      <c r="Y204" s="25">
        <f>IF($A204="",0,IF(AND(OR('Out_Dashboard'!$C$5="",$W204='Out_Dashboard'!$C$5),OR('Out_Dashboard'!$C$6="",$X204='Out_Dashboard'!$C$6),OR('Out_Dashboard'!$C$7="",$B204='Out_Dashboard'!$C$7)),1,0))</f>
        <v/>
      </c>
      <c r="Z204" s="25">
        <f>IF(AND($A204&lt;&gt;"",$S204&lt;&gt;"",$Y204=1),SUMPRODUCT(($A$8:$A204&lt;&gt;"")*($S$8:$S204&lt;&gt;"")*($Y$8:$Y204=1)),"")</f>
        <v/>
      </c>
      <c r="AA204" s="25">
        <f>IF(AND($A204&lt;&gt;"",$T204&lt;&gt;"",$Y204=1),SUMPRODUCT(($A$8:$A204&lt;&gt;"")*($T$8:$T204&lt;&gt;"")*($Y$8:$Y204=1)),"")</f>
        <v/>
      </c>
    </row>
    <row r="205">
      <c r="A205" s="13" t="n"/>
      <c r="B205" s="13" t="n"/>
      <c r="C205" s="26" t="n"/>
      <c r="D205" s="26" t="n"/>
      <c r="E205" s="26" t="n"/>
      <c r="F205" s="13" t="n"/>
      <c r="G205" s="13" t="n"/>
      <c r="H205" s="13" t="n"/>
      <c r="I205" s="13" t="n"/>
      <c r="J205" s="23">
        <f>IF($A205="","",IFERROR(INDEX('Ref_Crosswalk'!$F$2:$F$500,MATCH($A205,'Ref_Crosswalk'!$A$2:$A$500,0)),"UNKNOWN"))</f>
        <v/>
      </c>
      <c r="K205" s="24">
        <f>IF($A205="","",IFERROR(INDEX('Ref_Tolerance'!$B$2:$B$9,MATCH($J205,'Ref_Tolerance'!$A$2:$A$9,0)),""))</f>
        <v/>
      </c>
      <c r="L205" s="23">
        <f>IF($A205="","",IFERROR(INDEX('Ref_Tolerance'!$D$2:$D$9,MATCH($J205,'Ref_Tolerance'!$A$2:$A$9,0)),""))</f>
        <v/>
      </c>
      <c r="M205" s="24">
        <f>IF($A205="","",IFERROR(ABS(N($D205))/N($C205),0))</f>
        <v/>
      </c>
      <c r="N205" s="24">
        <f>IF($A205="","",IFERROR(N($E205)/N($C205),0))</f>
        <v/>
      </c>
      <c r="O205" s="23">
        <f>IF($A205="",0,IFERROR(SUMPRODUCT(($A$8:$A$307=$A205)*($P$8:$P$307="FAIL")*($U$8:$U$307&gt;$V205)*($U$8:$U$307&lt;=$U205)),0))</f>
        <v/>
      </c>
      <c r="P205" s="23">
        <f>IF($A205="","",IFERROR(IF(NOT(ISNUMBER($K205)),"CHECK",IF($L205="MARGIN",IF($N205&lt;=$K205,"PASS","FAIL"),IF($M205&lt;=$K205,"PASS","FAIL"))),"CHECK"))</f>
        <v/>
      </c>
      <c r="Q205" s="23">
        <f>IF($A205="","",IFERROR(INDEX('Ref_Tolerance'!$E$2:$E$9,MATCH($J205,'Ref_Tolerance'!$A$2:$A$9,0)),""))</f>
        <v/>
      </c>
      <c r="R205" s="23">
        <f>IF($A205="","",IFERROR(IF($O205=0,"CLEAR",IF($O205=1,"MFR DUE - MANAGER",IF($O205=2,"MFR DUE - FSS/CC SIGNATURE REQUIRED","INVESTIGATION + REPORT OF SURVEY; MSG/CC NOTIFIED"))),""))</f>
        <v/>
      </c>
      <c r="S205" s="23">
        <f>IF($A205="","",IF($O205=2,"WATCH - ONE MORE MISS TRIGGERS INVESTIGATION",""))</f>
        <v/>
      </c>
      <c r="T205" s="23">
        <f>IF($A205="","",IFERROR(IF(AND($O205&gt;=1,$F205&lt;&gt;"Y"),"MFR NOT SUBMITTED",IF(AND($O205&gt;=2,$G205&lt;&gt;"Y"),"FSS/CC SIGNATURE MISSING",IF(AND($O205&gt;=3,$H205&lt;&gt;"Y"),"INVESTIGATION NOT OPENED",""))),""))</f>
        <v/>
      </c>
      <c r="U205" s="25">
        <f>IF($A205="",0,IFERROR(MATCH($B205,'Ref_Calendar'!$A$2:$A$500,0),0))</f>
        <v/>
      </c>
      <c r="V205" s="25">
        <f>IF($A205="",0,IFERROR(SUMPRODUCT(MAX(($A$8:$A$307=$A205)*($P$8:$P$307="PASS")*($U$8:$U$307&lt;=$U205)*$U$8:$U$307)),0))</f>
        <v/>
      </c>
      <c r="W205" s="25">
        <f>IF($A205="","",IFERROR(INDEX('Ref_Crosswalk'!$E$2:$E$500,MATCH($A205,'Ref_Crosswalk'!$A$2:$A$500,0)),""))</f>
        <v/>
      </c>
      <c r="X205" s="25">
        <f>IF($A205="","",IFERROR(INDEX('Ref_Crosswalk'!$C$2:$C$500,MATCH($A205,'Ref_Crosswalk'!$A$2:$A$500,0)),""))</f>
        <v/>
      </c>
      <c r="Y205" s="25">
        <f>IF($A205="",0,IF(AND(OR('Out_Dashboard'!$C$5="",$W205='Out_Dashboard'!$C$5),OR('Out_Dashboard'!$C$6="",$X205='Out_Dashboard'!$C$6),OR('Out_Dashboard'!$C$7="",$B205='Out_Dashboard'!$C$7)),1,0))</f>
        <v/>
      </c>
      <c r="Z205" s="25">
        <f>IF(AND($A205&lt;&gt;"",$S205&lt;&gt;"",$Y205=1),SUMPRODUCT(($A$8:$A205&lt;&gt;"")*($S$8:$S205&lt;&gt;"")*($Y$8:$Y205=1)),"")</f>
        <v/>
      </c>
      <c r="AA205" s="25">
        <f>IF(AND($A205&lt;&gt;"",$T205&lt;&gt;"",$Y205=1),SUMPRODUCT(($A$8:$A205&lt;&gt;"")*($T$8:$T205&lt;&gt;"")*($Y$8:$Y205=1)),"")</f>
        <v/>
      </c>
    </row>
    <row r="206">
      <c r="A206" s="13" t="n"/>
      <c r="B206" s="13" t="n"/>
      <c r="C206" s="26" t="n"/>
      <c r="D206" s="26" t="n"/>
      <c r="E206" s="26" t="n"/>
      <c r="F206" s="13" t="n"/>
      <c r="G206" s="13" t="n"/>
      <c r="H206" s="13" t="n"/>
      <c r="I206" s="13" t="n"/>
      <c r="J206" s="23">
        <f>IF($A206="","",IFERROR(INDEX('Ref_Crosswalk'!$F$2:$F$500,MATCH($A206,'Ref_Crosswalk'!$A$2:$A$500,0)),"UNKNOWN"))</f>
        <v/>
      </c>
      <c r="K206" s="24">
        <f>IF($A206="","",IFERROR(INDEX('Ref_Tolerance'!$B$2:$B$9,MATCH($J206,'Ref_Tolerance'!$A$2:$A$9,0)),""))</f>
        <v/>
      </c>
      <c r="L206" s="23">
        <f>IF($A206="","",IFERROR(INDEX('Ref_Tolerance'!$D$2:$D$9,MATCH($J206,'Ref_Tolerance'!$A$2:$A$9,0)),""))</f>
        <v/>
      </c>
      <c r="M206" s="24">
        <f>IF($A206="","",IFERROR(ABS(N($D206))/N($C206),0))</f>
        <v/>
      </c>
      <c r="N206" s="24">
        <f>IF($A206="","",IFERROR(N($E206)/N($C206),0))</f>
        <v/>
      </c>
      <c r="O206" s="23">
        <f>IF($A206="",0,IFERROR(SUMPRODUCT(($A$8:$A$307=$A206)*($P$8:$P$307="FAIL")*($U$8:$U$307&gt;$V206)*($U$8:$U$307&lt;=$U206)),0))</f>
        <v/>
      </c>
      <c r="P206" s="23">
        <f>IF($A206="","",IFERROR(IF(NOT(ISNUMBER($K206)),"CHECK",IF($L206="MARGIN",IF($N206&lt;=$K206,"PASS","FAIL"),IF($M206&lt;=$K206,"PASS","FAIL"))),"CHECK"))</f>
        <v/>
      </c>
      <c r="Q206" s="23">
        <f>IF($A206="","",IFERROR(INDEX('Ref_Tolerance'!$E$2:$E$9,MATCH($J206,'Ref_Tolerance'!$A$2:$A$9,0)),""))</f>
        <v/>
      </c>
      <c r="R206" s="23">
        <f>IF($A206="","",IFERROR(IF($O206=0,"CLEAR",IF($O206=1,"MFR DUE - MANAGER",IF($O206=2,"MFR DUE - FSS/CC SIGNATURE REQUIRED","INVESTIGATION + REPORT OF SURVEY; MSG/CC NOTIFIED"))),""))</f>
        <v/>
      </c>
      <c r="S206" s="23">
        <f>IF($A206="","",IF($O206=2,"WATCH - ONE MORE MISS TRIGGERS INVESTIGATION",""))</f>
        <v/>
      </c>
      <c r="T206" s="23">
        <f>IF($A206="","",IFERROR(IF(AND($O206&gt;=1,$F206&lt;&gt;"Y"),"MFR NOT SUBMITTED",IF(AND($O206&gt;=2,$G206&lt;&gt;"Y"),"FSS/CC SIGNATURE MISSING",IF(AND($O206&gt;=3,$H206&lt;&gt;"Y"),"INVESTIGATION NOT OPENED",""))),""))</f>
        <v/>
      </c>
      <c r="U206" s="25">
        <f>IF($A206="",0,IFERROR(MATCH($B206,'Ref_Calendar'!$A$2:$A$500,0),0))</f>
        <v/>
      </c>
      <c r="V206" s="25">
        <f>IF($A206="",0,IFERROR(SUMPRODUCT(MAX(($A$8:$A$307=$A206)*($P$8:$P$307="PASS")*($U$8:$U$307&lt;=$U206)*$U$8:$U$307)),0))</f>
        <v/>
      </c>
      <c r="W206" s="25">
        <f>IF($A206="","",IFERROR(INDEX('Ref_Crosswalk'!$E$2:$E$500,MATCH($A206,'Ref_Crosswalk'!$A$2:$A$500,0)),""))</f>
        <v/>
      </c>
      <c r="X206" s="25">
        <f>IF($A206="","",IFERROR(INDEX('Ref_Crosswalk'!$C$2:$C$500,MATCH($A206,'Ref_Crosswalk'!$A$2:$A$500,0)),""))</f>
        <v/>
      </c>
      <c r="Y206" s="25">
        <f>IF($A206="",0,IF(AND(OR('Out_Dashboard'!$C$5="",$W206='Out_Dashboard'!$C$5),OR('Out_Dashboard'!$C$6="",$X206='Out_Dashboard'!$C$6),OR('Out_Dashboard'!$C$7="",$B206='Out_Dashboard'!$C$7)),1,0))</f>
        <v/>
      </c>
      <c r="Z206" s="25">
        <f>IF(AND($A206&lt;&gt;"",$S206&lt;&gt;"",$Y206=1),SUMPRODUCT(($A$8:$A206&lt;&gt;"")*($S$8:$S206&lt;&gt;"")*($Y$8:$Y206=1)),"")</f>
        <v/>
      </c>
      <c r="AA206" s="25">
        <f>IF(AND($A206&lt;&gt;"",$T206&lt;&gt;"",$Y206=1),SUMPRODUCT(($A$8:$A206&lt;&gt;"")*($T$8:$T206&lt;&gt;"")*($Y$8:$Y206=1)),"")</f>
        <v/>
      </c>
    </row>
    <row r="207">
      <c r="A207" s="13" t="n"/>
      <c r="B207" s="13" t="n"/>
      <c r="C207" s="26" t="n"/>
      <c r="D207" s="26" t="n"/>
      <c r="E207" s="26" t="n"/>
      <c r="F207" s="13" t="n"/>
      <c r="G207" s="13" t="n"/>
      <c r="H207" s="13" t="n"/>
      <c r="I207" s="13" t="n"/>
      <c r="J207" s="23">
        <f>IF($A207="","",IFERROR(INDEX('Ref_Crosswalk'!$F$2:$F$500,MATCH($A207,'Ref_Crosswalk'!$A$2:$A$500,0)),"UNKNOWN"))</f>
        <v/>
      </c>
      <c r="K207" s="24">
        <f>IF($A207="","",IFERROR(INDEX('Ref_Tolerance'!$B$2:$B$9,MATCH($J207,'Ref_Tolerance'!$A$2:$A$9,0)),""))</f>
        <v/>
      </c>
      <c r="L207" s="23">
        <f>IF($A207="","",IFERROR(INDEX('Ref_Tolerance'!$D$2:$D$9,MATCH($J207,'Ref_Tolerance'!$A$2:$A$9,0)),""))</f>
        <v/>
      </c>
      <c r="M207" s="24">
        <f>IF($A207="","",IFERROR(ABS(N($D207))/N($C207),0))</f>
        <v/>
      </c>
      <c r="N207" s="24">
        <f>IF($A207="","",IFERROR(N($E207)/N($C207),0))</f>
        <v/>
      </c>
      <c r="O207" s="23">
        <f>IF($A207="",0,IFERROR(SUMPRODUCT(($A$8:$A$307=$A207)*($P$8:$P$307="FAIL")*($U$8:$U$307&gt;$V207)*($U$8:$U$307&lt;=$U207)),0))</f>
        <v/>
      </c>
      <c r="P207" s="23">
        <f>IF($A207="","",IFERROR(IF(NOT(ISNUMBER($K207)),"CHECK",IF($L207="MARGIN",IF($N207&lt;=$K207,"PASS","FAIL"),IF($M207&lt;=$K207,"PASS","FAIL"))),"CHECK"))</f>
        <v/>
      </c>
      <c r="Q207" s="23">
        <f>IF($A207="","",IFERROR(INDEX('Ref_Tolerance'!$E$2:$E$9,MATCH($J207,'Ref_Tolerance'!$A$2:$A$9,0)),""))</f>
        <v/>
      </c>
      <c r="R207" s="23">
        <f>IF($A207="","",IFERROR(IF($O207=0,"CLEAR",IF($O207=1,"MFR DUE - MANAGER",IF($O207=2,"MFR DUE - FSS/CC SIGNATURE REQUIRED","INVESTIGATION + REPORT OF SURVEY; MSG/CC NOTIFIED"))),""))</f>
        <v/>
      </c>
      <c r="S207" s="23">
        <f>IF($A207="","",IF($O207=2,"WATCH - ONE MORE MISS TRIGGERS INVESTIGATION",""))</f>
        <v/>
      </c>
      <c r="T207" s="23">
        <f>IF($A207="","",IFERROR(IF(AND($O207&gt;=1,$F207&lt;&gt;"Y"),"MFR NOT SUBMITTED",IF(AND($O207&gt;=2,$G207&lt;&gt;"Y"),"FSS/CC SIGNATURE MISSING",IF(AND($O207&gt;=3,$H207&lt;&gt;"Y"),"INVESTIGATION NOT OPENED",""))),""))</f>
        <v/>
      </c>
      <c r="U207" s="25">
        <f>IF($A207="",0,IFERROR(MATCH($B207,'Ref_Calendar'!$A$2:$A$500,0),0))</f>
        <v/>
      </c>
      <c r="V207" s="25">
        <f>IF($A207="",0,IFERROR(SUMPRODUCT(MAX(($A$8:$A$307=$A207)*($P$8:$P$307="PASS")*($U$8:$U$307&lt;=$U207)*$U$8:$U$307)),0))</f>
        <v/>
      </c>
      <c r="W207" s="25">
        <f>IF($A207="","",IFERROR(INDEX('Ref_Crosswalk'!$E$2:$E$500,MATCH($A207,'Ref_Crosswalk'!$A$2:$A$500,0)),""))</f>
        <v/>
      </c>
      <c r="X207" s="25">
        <f>IF($A207="","",IFERROR(INDEX('Ref_Crosswalk'!$C$2:$C$500,MATCH($A207,'Ref_Crosswalk'!$A$2:$A$500,0)),""))</f>
        <v/>
      </c>
      <c r="Y207" s="25">
        <f>IF($A207="",0,IF(AND(OR('Out_Dashboard'!$C$5="",$W207='Out_Dashboard'!$C$5),OR('Out_Dashboard'!$C$6="",$X207='Out_Dashboard'!$C$6),OR('Out_Dashboard'!$C$7="",$B207='Out_Dashboard'!$C$7)),1,0))</f>
        <v/>
      </c>
      <c r="Z207" s="25">
        <f>IF(AND($A207&lt;&gt;"",$S207&lt;&gt;"",$Y207=1),SUMPRODUCT(($A$8:$A207&lt;&gt;"")*($S$8:$S207&lt;&gt;"")*($Y$8:$Y207=1)),"")</f>
        <v/>
      </c>
      <c r="AA207" s="25">
        <f>IF(AND($A207&lt;&gt;"",$T207&lt;&gt;"",$Y207=1),SUMPRODUCT(($A$8:$A207&lt;&gt;"")*($T$8:$T207&lt;&gt;"")*($Y$8:$Y207=1)),"")</f>
        <v/>
      </c>
    </row>
    <row r="208">
      <c r="A208" s="13" t="n"/>
      <c r="B208" s="13" t="n"/>
      <c r="C208" s="26" t="n"/>
      <c r="D208" s="26" t="n"/>
      <c r="E208" s="26" t="n"/>
      <c r="F208" s="13" t="n"/>
      <c r="G208" s="13" t="n"/>
      <c r="H208" s="13" t="n"/>
      <c r="I208" s="13" t="n"/>
      <c r="J208" s="23">
        <f>IF($A208="","",IFERROR(INDEX('Ref_Crosswalk'!$F$2:$F$500,MATCH($A208,'Ref_Crosswalk'!$A$2:$A$500,0)),"UNKNOWN"))</f>
        <v/>
      </c>
      <c r="K208" s="24">
        <f>IF($A208="","",IFERROR(INDEX('Ref_Tolerance'!$B$2:$B$9,MATCH($J208,'Ref_Tolerance'!$A$2:$A$9,0)),""))</f>
        <v/>
      </c>
      <c r="L208" s="23">
        <f>IF($A208="","",IFERROR(INDEX('Ref_Tolerance'!$D$2:$D$9,MATCH($J208,'Ref_Tolerance'!$A$2:$A$9,0)),""))</f>
        <v/>
      </c>
      <c r="M208" s="24">
        <f>IF($A208="","",IFERROR(ABS(N($D208))/N($C208),0))</f>
        <v/>
      </c>
      <c r="N208" s="24">
        <f>IF($A208="","",IFERROR(N($E208)/N($C208),0))</f>
        <v/>
      </c>
      <c r="O208" s="23">
        <f>IF($A208="",0,IFERROR(SUMPRODUCT(($A$8:$A$307=$A208)*($P$8:$P$307="FAIL")*($U$8:$U$307&gt;$V208)*($U$8:$U$307&lt;=$U208)),0))</f>
        <v/>
      </c>
      <c r="P208" s="23">
        <f>IF($A208="","",IFERROR(IF(NOT(ISNUMBER($K208)),"CHECK",IF($L208="MARGIN",IF($N208&lt;=$K208,"PASS","FAIL"),IF($M208&lt;=$K208,"PASS","FAIL"))),"CHECK"))</f>
        <v/>
      </c>
      <c r="Q208" s="23">
        <f>IF($A208="","",IFERROR(INDEX('Ref_Tolerance'!$E$2:$E$9,MATCH($J208,'Ref_Tolerance'!$A$2:$A$9,0)),""))</f>
        <v/>
      </c>
      <c r="R208" s="23">
        <f>IF($A208="","",IFERROR(IF($O208=0,"CLEAR",IF($O208=1,"MFR DUE - MANAGER",IF($O208=2,"MFR DUE - FSS/CC SIGNATURE REQUIRED","INVESTIGATION + REPORT OF SURVEY; MSG/CC NOTIFIED"))),""))</f>
        <v/>
      </c>
      <c r="S208" s="23">
        <f>IF($A208="","",IF($O208=2,"WATCH - ONE MORE MISS TRIGGERS INVESTIGATION",""))</f>
        <v/>
      </c>
      <c r="T208" s="23">
        <f>IF($A208="","",IFERROR(IF(AND($O208&gt;=1,$F208&lt;&gt;"Y"),"MFR NOT SUBMITTED",IF(AND($O208&gt;=2,$G208&lt;&gt;"Y"),"FSS/CC SIGNATURE MISSING",IF(AND($O208&gt;=3,$H208&lt;&gt;"Y"),"INVESTIGATION NOT OPENED",""))),""))</f>
        <v/>
      </c>
      <c r="U208" s="25">
        <f>IF($A208="",0,IFERROR(MATCH($B208,'Ref_Calendar'!$A$2:$A$500,0),0))</f>
        <v/>
      </c>
      <c r="V208" s="25">
        <f>IF($A208="",0,IFERROR(SUMPRODUCT(MAX(($A$8:$A$307=$A208)*($P$8:$P$307="PASS")*($U$8:$U$307&lt;=$U208)*$U$8:$U$307)),0))</f>
        <v/>
      </c>
      <c r="W208" s="25">
        <f>IF($A208="","",IFERROR(INDEX('Ref_Crosswalk'!$E$2:$E$500,MATCH($A208,'Ref_Crosswalk'!$A$2:$A$500,0)),""))</f>
        <v/>
      </c>
      <c r="X208" s="25">
        <f>IF($A208="","",IFERROR(INDEX('Ref_Crosswalk'!$C$2:$C$500,MATCH($A208,'Ref_Crosswalk'!$A$2:$A$500,0)),""))</f>
        <v/>
      </c>
      <c r="Y208" s="25">
        <f>IF($A208="",0,IF(AND(OR('Out_Dashboard'!$C$5="",$W208='Out_Dashboard'!$C$5),OR('Out_Dashboard'!$C$6="",$X208='Out_Dashboard'!$C$6),OR('Out_Dashboard'!$C$7="",$B208='Out_Dashboard'!$C$7)),1,0))</f>
        <v/>
      </c>
      <c r="Z208" s="25">
        <f>IF(AND($A208&lt;&gt;"",$S208&lt;&gt;"",$Y208=1),SUMPRODUCT(($A$8:$A208&lt;&gt;"")*($S$8:$S208&lt;&gt;"")*($Y$8:$Y208=1)),"")</f>
        <v/>
      </c>
      <c r="AA208" s="25">
        <f>IF(AND($A208&lt;&gt;"",$T208&lt;&gt;"",$Y208=1),SUMPRODUCT(($A$8:$A208&lt;&gt;"")*($T$8:$T208&lt;&gt;"")*($Y$8:$Y208=1)),"")</f>
        <v/>
      </c>
    </row>
    <row r="209">
      <c r="A209" s="13" t="n"/>
      <c r="B209" s="13" t="n"/>
      <c r="C209" s="26" t="n"/>
      <c r="D209" s="26" t="n"/>
      <c r="E209" s="26" t="n"/>
      <c r="F209" s="13" t="n"/>
      <c r="G209" s="13" t="n"/>
      <c r="H209" s="13" t="n"/>
      <c r="I209" s="13" t="n"/>
      <c r="J209" s="23">
        <f>IF($A209="","",IFERROR(INDEX('Ref_Crosswalk'!$F$2:$F$500,MATCH($A209,'Ref_Crosswalk'!$A$2:$A$500,0)),"UNKNOWN"))</f>
        <v/>
      </c>
      <c r="K209" s="24">
        <f>IF($A209="","",IFERROR(INDEX('Ref_Tolerance'!$B$2:$B$9,MATCH($J209,'Ref_Tolerance'!$A$2:$A$9,0)),""))</f>
        <v/>
      </c>
      <c r="L209" s="23">
        <f>IF($A209="","",IFERROR(INDEX('Ref_Tolerance'!$D$2:$D$9,MATCH($J209,'Ref_Tolerance'!$A$2:$A$9,0)),""))</f>
        <v/>
      </c>
      <c r="M209" s="24">
        <f>IF($A209="","",IFERROR(ABS(N($D209))/N($C209),0))</f>
        <v/>
      </c>
      <c r="N209" s="24">
        <f>IF($A209="","",IFERROR(N($E209)/N($C209),0))</f>
        <v/>
      </c>
      <c r="O209" s="23">
        <f>IF($A209="",0,IFERROR(SUMPRODUCT(($A$8:$A$307=$A209)*($P$8:$P$307="FAIL")*($U$8:$U$307&gt;$V209)*($U$8:$U$307&lt;=$U209)),0))</f>
        <v/>
      </c>
      <c r="P209" s="23">
        <f>IF($A209="","",IFERROR(IF(NOT(ISNUMBER($K209)),"CHECK",IF($L209="MARGIN",IF($N209&lt;=$K209,"PASS","FAIL"),IF($M209&lt;=$K209,"PASS","FAIL"))),"CHECK"))</f>
        <v/>
      </c>
      <c r="Q209" s="23">
        <f>IF($A209="","",IFERROR(INDEX('Ref_Tolerance'!$E$2:$E$9,MATCH($J209,'Ref_Tolerance'!$A$2:$A$9,0)),""))</f>
        <v/>
      </c>
      <c r="R209" s="23">
        <f>IF($A209="","",IFERROR(IF($O209=0,"CLEAR",IF($O209=1,"MFR DUE - MANAGER",IF($O209=2,"MFR DUE - FSS/CC SIGNATURE REQUIRED","INVESTIGATION + REPORT OF SURVEY; MSG/CC NOTIFIED"))),""))</f>
        <v/>
      </c>
      <c r="S209" s="23">
        <f>IF($A209="","",IF($O209=2,"WATCH - ONE MORE MISS TRIGGERS INVESTIGATION",""))</f>
        <v/>
      </c>
      <c r="T209" s="23">
        <f>IF($A209="","",IFERROR(IF(AND($O209&gt;=1,$F209&lt;&gt;"Y"),"MFR NOT SUBMITTED",IF(AND($O209&gt;=2,$G209&lt;&gt;"Y"),"FSS/CC SIGNATURE MISSING",IF(AND($O209&gt;=3,$H209&lt;&gt;"Y"),"INVESTIGATION NOT OPENED",""))),""))</f>
        <v/>
      </c>
      <c r="U209" s="25">
        <f>IF($A209="",0,IFERROR(MATCH($B209,'Ref_Calendar'!$A$2:$A$500,0),0))</f>
        <v/>
      </c>
      <c r="V209" s="25">
        <f>IF($A209="",0,IFERROR(SUMPRODUCT(MAX(($A$8:$A$307=$A209)*($P$8:$P$307="PASS")*($U$8:$U$307&lt;=$U209)*$U$8:$U$307)),0))</f>
        <v/>
      </c>
      <c r="W209" s="25">
        <f>IF($A209="","",IFERROR(INDEX('Ref_Crosswalk'!$E$2:$E$500,MATCH($A209,'Ref_Crosswalk'!$A$2:$A$500,0)),""))</f>
        <v/>
      </c>
      <c r="X209" s="25">
        <f>IF($A209="","",IFERROR(INDEX('Ref_Crosswalk'!$C$2:$C$500,MATCH($A209,'Ref_Crosswalk'!$A$2:$A$500,0)),""))</f>
        <v/>
      </c>
      <c r="Y209" s="25">
        <f>IF($A209="",0,IF(AND(OR('Out_Dashboard'!$C$5="",$W209='Out_Dashboard'!$C$5),OR('Out_Dashboard'!$C$6="",$X209='Out_Dashboard'!$C$6),OR('Out_Dashboard'!$C$7="",$B209='Out_Dashboard'!$C$7)),1,0))</f>
        <v/>
      </c>
      <c r="Z209" s="25">
        <f>IF(AND($A209&lt;&gt;"",$S209&lt;&gt;"",$Y209=1),SUMPRODUCT(($A$8:$A209&lt;&gt;"")*($S$8:$S209&lt;&gt;"")*($Y$8:$Y209=1)),"")</f>
        <v/>
      </c>
      <c r="AA209" s="25">
        <f>IF(AND($A209&lt;&gt;"",$T209&lt;&gt;"",$Y209=1),SUMPRODUCT(($A$8:$A209&lt;&gt;"")*($T$8:$T209&lt;&gt;"")*($Y$8:$Y209=1)),"")</f>
        <v/>
      </c>
    </row>
    <row r="210">
      <c r="A210" s="13" t="n"/>
      <c r="B210" s="13" t="n"/>
      <c r="C210" s="26" t="n"/>
      <c r="D210" s="26" t="n"/>
      <c r="E210" s="26" t="n"/>
      <c r="F210" s="13" t="n"/>
      <c r="G210" s="13" t="n"/>
      <c r="H210" s="13" t="n"/>
      <c r="I210" s="13" t="n"/>
      <c r="J210" s="23">
        <f>IF($A210="","",IFERROR(INDEX('Ref_Crosswalk'!$F$2:$F$500,MATCH($A210,'Ref_Crosswalk'!$A$2:$A$500,0)),"UNKNOWN"))</f>
        <v/>
      </c>
      <c r="K210" s="24">
        <f>IF($A210="","",IFERROR(INDEX('Ref_Tolerance'!$B$2:$B$9,MATCH($J210,'Ref_Tolerance'!$A$2:$A$9,0)),""))</f>
        <v/>
      </c>
      <c r="L210" s="23">
        <f>IF($A210="","",IFERROR(INDEX('Ref_Tolerance'!$D$2:$D$9,MATCH($J210,'Ref_Tolerance'!$A$2:$A$9,0)),""))</f>
        <v/>
      </c>
      <c r="M210" s="24">
        <f>IF($A210="","",IFERROR(ABS(N($D210))/N($C210),0))</f>
        <v/>
      </c>
      <c r="N210" s="24">
        <f>IF($A210="","",IFERROR(N($E210)/N($C210),0))</f>
        <v/>
      </c>
      <c r="O210" s="23">
        <f>IF($A210="",0,IFERROR(SUMPRODUCT(($A$8:$A$307=$A210)*($P$8:$P$307="FAIL")*($U$8:$U$307&gt;$V210)*($U$8:$U$307&lt;=$U210)),0))</f>
        <v/>
      </c>
      <c r="P210" s="23">
        <f>IF($A210="","",IFERROR(IF(NOT(ISNUMBER($K210)),"CHECK",IF($L210="MARGIN",IF($N210&lt;=$K210,"PASS","FAIL"),IF($M210&lt;=$K210,"PASS","FAIL"))),"CHECK"))</f>
        <v/>
      </c>
      <c r="Q210" s="23">
        <f>IF($A210="","",IFERROR(INDEX('Ref_Tolerance'!$E$2:$E$9,MATCH($J210,'Ref_Tolerance'!$A$2:$A$9,0)),""))</f>
        <v/>
      </c>
      <c r="R210" s="23">
        <f>IF($A210="","",IFERROR(IF($O210=0,"CLEAR",IF($O210=1,"MFR DUE - MANAGER",IF($O210=2,"MFR DUE - FSS/CC SIGNATURE REQUIRED","INVESTIGATION + REPORT OF SURVEY; MSG/CC NOTIFIED"))),""))</f>
        <v/>
      </c>
      <c r="S210" s="23">
        <f>IF($A210="","",IF($O210=2,"WATCH - ONE MORE MISS TRIGGERS INVESTIGATION",""))</f>
        <v/>
      </c>
      <c r="T210" s="23">
        <f>IF($A210="","",IFERROR(IF(AND($O210&gt;=1,$F210&lt;&gt;"Y"),"MFR NOT SUBMITTED",IF(AND($O210&gt;=2,$G210&lt;&gt;"Y"),"FSS/CC SIGNATURE MISSING",IF(AND($O210&gt;=3,$H210&lt;&gt;"Y"),"INVESTIGATION NOT OPENED",""))),""))</f>
        <v/>
      </c>
      <c r="U210" s="25">
        <f>IF($A210="",0,IFERROR(MATCH($B210,'Ref_Calendar'!$A$2:$A$500,0),0))</f>
        <v/>
      </c>
      <c r="V210" s="25">
        <f>IF($A210="",0,IFERROR(SUMPRODUCT(MAX(($A$8:$A$307=$A210)*($P$8:$P$307="PASS")*($U$8:$U$307&lt;=$U210)*$U$8:$U$307)),0))</f>
        <v/>
      </c>
      <c r="W210" s="25">
        <f>IF($A210="","",IFERROR(INDEX('Ref_Crosswalk'!$E$2:$E$500,MATCH($A210,'Ref_Crosswalk'!$A$2:$A$500,0)),""))</f>
        <v/>
      </c>
      <c r="X210" s="25">
        <f>IF($A210="","",IFERROR(INDEX('Ref_Crosswalk'!$C$2:$C$500,MATCH($A210,'Ref_Crosswalk'!$A$2:$A$500,0)),""))</f>
        <v/>
      </c>
      <c r="Y210" s="25">
        <f>IF($A210="",0,IF(AND(OR('Out_Dashboard'!$C$5="",$W210='Out_Dashboard'!$C$5),OR('Out_Dashboard'!$C$6="",$X210='Out_Dashboard'!$C$6),OR('Out_Dashboard'!$C$7="",$B210='Out_Dashboard'!$C$7)),1,0))</f>
        <v/>
      </c>
      <c r="Z210" s="25">
        <f>IF(AND($A210&lt;&gt;"",$S210&lt;&gt;"",$Y210=1),SUMPRODUCT(($A$8:$A210&lt;&gt;"")*($S$8:$S210&lt;&gt;"")*($Y$8:$Y210=1)),"")</f>
        <v/>
      </c>
      <c r="AA210" s="25">
        <f>IF(AND($A210&lt;&gt;"",$T210&lt;&gt;"",$Y210=1),SUMPRODUCT(($A$8:$A210&lt;&gt;"")*($T$8:$T210&lt;&gt;"")*($Y$8:$Y210=1)),"")</f>
        <v/>
      </c>
    </row>
    <row r="211">
      <c r="A211" s="13" t="n"/>
      <c r="B211" s="13" t="n"/>
      <c r="C211" s="26" t="n"/>
      <c r="D211" s="26" t="n"/>
      <c r="E211" s="26" t="n"/>
      <c r="F211" s="13" t="n"/>
      <c r="G211" s="13" t="n"/>
      <c r="H211" s="13" t="n"/>
      <c r="I211" s="13" t="n"/>
      <c r="J211" s="23">
        <f>IF($A211="","",IFERROR(INDEX('Ref_Crosswalk'!$F$2:$F$500,MATCH($A211,'Ref_Crosswalk'!$A$2:$A$500,0)),"UNKNOWN"))</f>
        <v/>
      </c>
      <c r="K211" s="24">
        <f>IF($A211="","",IFERROR(INDEX('Ref_Tolerance'!$B$2:$B$9,MATCH($J211,'Ref_Tolerance'!$A$2:$A$9,0)),""))</f>
        <v/>
      </c>
      <c r="L211" s="23">
        <f>IF($A211="","",IFERROR(INDEX('Ref_Tolerance'!$D$2:$D$9,MATCH($J211,'Ref_Tolerance'!$A$2:$A$9,0)),""))</f>
        <v/>
      </c>
      <c r="M211" s="24">
        <f>IF($A211="","",IFERROR(ABS(N($D211))/N($C211),0))</f>
        <v/>
      </c>
      <c r="N211" s="24">
        <f>IF($A211="","",IFERROR(N($E211)/N($C211),0))</f>
        <v/>
      </c>
      <c r="O211" s="23">
        <f>IF($A211="",0,IFERROR(SUMPRODUCT(($A$8:$A$307=$A211)*($P$8:$P$307="FAIL")*($U$8:$U$307&gt;$V211)*($U$8:$U$307&lt;=$U211)),0))</f>
        <v/>
      </c>
      <c r="P211" s="23">
        <f>IF($A211="","",IFERROR(IF(NOT(ISNUMBER($K211)),"CHECK",IF($L211="MARGIN",IF($N211&lt;=$K211,"PASS","FAIL"),IF($M211&lt;=$K211,"PASS","FAIL"))),"CHECK"))</f>
        <v/>
      </c>
      <c r="Q211" s="23">
        <f>IF($A211="","",IFERROR(INDEX('Ref_Tolerance'!$E$2:$E$9,MATCH($J211,'Ref_Tolerance'!$A$2:$A$9,0)),""))</f>
        <v/>
      </c>
      <c r="R211" s="23">
        <f>IF($A211="","",IFERROR(IF($O211=0,"CLEAR",IF($O211=1,"MFR DUE - MANAGER",IF($O211=2,"MFR DUE - FSS/CC SIGNATURE REQUIRED","INVESTIGATION + REPORT OF SURVEY; MSG/CC NOTIFIED"))),""))</f>
        <v/>
      </c>
      <c r="S211" s="23">
        <f>IF($A211="","",IF($O211=2,"WATCH - ONE MORE MISS TRIGGERS INVESTIGATION",""))</f>
        <v/>
      </c>
      <c r="T211" s="23">
        <f>IF($A211="","",IFERROR(IF(AND($O211&gt;=1,$F211&lt;&gt;"Y"),"MFR NOT SUBMITTED",IF(AND($O211&gt;=2,$G211&lt;&gt;"Y"),"FSS/CC SIGNATURE MISSING",IF(AND($O211&gt;=3,$H211&lt;&gt;"Y"),"INVESTIGATION NOT OPENED",""))),""))</f>
        <v/>
      </c>
      <c r="U211" s="25">
        <f>IF($A211="",0,IFERROR(MATCH($B211,'Ref_Calendar'!$A$2:$A$500,0),0))</f>
        <v/>
      </c>
      <c r="V211" s="25">
        <f>IF($A211="",0,IFERROR(SUMPRODUCT(MAX(($A$8:$A$307=$A211)*($P$8:$P$307="PASS")*($U$8:$U$307&lt;=$U211)*$U$8:$U$307)),0))</f>
        <v/>
      </c>
      <c r="W211" s="25">
        <f>IF($A211="","",IFERROR(INDEX('Ref_Crosswalk'!$E$2:$E$500,MATCH($A211,'Ref_Crosswalk'!$A$2:$A$500,0)),""))</f>
        <v/>
      </c>
      <c r="X211" s="25">
        <f>IF($A211="","",IFERROR(INDEX('Ref_Crosswalk'!$C$2:$C$500,MATCH($A211,'Ref_Crosswalk'!$A$2:$A$500,0)),""))</f>
        <v/>
      </c>
      <c r="Y211" s="25">
        <f>IF($A211="",0,IF(AND(OR('Out_Dashboard'!$C$5="",$W211='Out_Dashboard'!$C$5),OR('Out_Dashboard'!$C$6="",$X211='Out_Dashboard'!$C$6),OR('Out_Dashboard'!$C$7="",$B211='Out_Dashboard'!$C$7)),1,0))</f>
        <v/>
      </c>
      <c r="Z211" s="25">
        <f>IF(AND($A211&lt;&gt;"",$S211&lt;&gt;"",$Y211=1),SUMPRODUCT(($A$8:$A211&lt;&gt;"")*($S$8:$S211&lt;&gt;"")*($Y$8:$Y211=1)),"")</f>
        <v/>
      </c>
      <c r="AA211" s="25">
        <f>IF(AND($A211&lt;&gt;"",$T211&lt;&gt;"",$Y211=1),SUMPRODUCT(($A$8:$A211&lt;&gt;"")*($T$8:$T211&lt;&gt;"")*($Y$8:$Y211=1)),"")</f>
        <v/>
      </c>
    </row>
    <row r="212">
      <c r="A212" s="13" t="n"/>
      <c r="B212" s="13" t="n"/>
      <c r="C212" s="26" t="n"/>
      <c r="D212" s="26" t="n"/>
      <c r="E212" s="26" t="n"/>
      <c r="F212" s="13" t="n"/>
      <c r="G212" s="13" t="n"/>
      <c r="H212" s="13" t="n"/>
      <c r="I212" s="13" t="n"/>
      <c r="J212" s="23">
        <f>IF($A212="","",IFERROR(INDEX('Ref_Crosswalk'!$F$2:$F$500,MATCH($A212,'Ref_Crosswalk'!$A$2:$A$500,0)),"UNKNOWN"))</f>
        <v/>
      </c>
      <c r="K212" s="24">
        <f>IF($A212="","",IFERROR(INDEX('Ref_Tolerance'!$B$2:$B$9,MATCH($J212,'Ref_Tolerance'!$A$2:$A$9,0)),""))</f>
        <v/>
      </c>
      <c r="L212" s="23">
        <f>IF($A212="","",IFERROR(INDEX('Ref_Tolerance'!$D$2:$D$9,MATCH($J212,'Ref_Tolerance'!$A$2:$A$9,0)),""))</f>
        <v/>
      </c>
      <c r="M212" s="24">
        <f>IF($A212="","",IFERROR(ABS(N($D212))/N($C212),0))</f>
        <v/>
      </c>
      <c r="N212" s="24">
        <f>IF($A212="","",IFERROR(N($E212)/N($C212),0))</f>
        <v/>
      </c>
      <c r="O212" s="23">
        <f>IF($A212="",0,IFERROR(SUMPRODUCT(($A$8:$A$307=$A212)*($P$8:$P$307="FAIL")*($U$8:$U$307&gt;$V212)*($U$8:$U$307&lt;=$U212)),0))</f>
        <v/>
      </c>
      <c r="P212" s="23">
        <f>IF($A212="","",IFERROR(IF(NOT(ISNUMBER($K212)),"CHECK",IF($L212="MARGIN",IF($N212&lt;=$K212,"PASS","FAIL"),IF($M212&lt;=$K212,"PASS","FAIL"))),"CHECK"))</f>
        <v/>
      </c>
      <c r="Q212" s="23">
        <f>IF($A212="","",IFERROR(INDEX('Ref_Tolerance'!$E$2:$E$9,MATCH($J212,'Ref_Tolerance'!$A$2:$A$9,0)),""))</f>
        <v/>
      </c>
      <c r="R212" s="23">
        <f>IF($A212="","",IFERROR(IF($O212=0,"CLEAR",IF($O212=1,"MFR DUE - MANAGER",IF($O212=2,"MFR DUE - FSS/CC SIGNATURE REQUIRED","INVESTIGATION + REPORT OF SURVEY; MSG/CC NOTIFIED"))),""))</f>
        <v/>
      </c>
      <c r="S212" s="23">
        <f>IF($A212="","",IF($O212=2,"WATCH - ONE MORE MISS TRIGGERS INVESTIGATION",""))</f>
        <v/>
      </c>
      <c r="T212" s="23">
        <f>IF($A212="","",IFERROR(IF(AND($O212&gt;=1,$F212&lt;&gt;"Y"),"MFR NOT SUBMITTED",IF(AND($O212&gt;=2,$G212&lt;&gt;"Y"),"FSS/CC SIGNATURE MISSING",IF(AND($O212&gt;=3,$H212&lt;&gt;"Y"),"INVESTIGATION NOT OPENED",""))),""))</f>
        <v/>
      </c>
      <c r="U212" s="25">
        <f>IF($A212="",0,IFERROR(MATCH($B212,'Ref_Calendar'!$A$2:$A$500,0),0))</f>
        <v/>
      </c>
      <c r="V212" s="25">
        <f>IF($A212="",0,IFERROR(SUMPRODUCT(MAX(($A$8:$A$307=$A212)*($P$8:$P$307="PASS")*($U$8:$U$307&lt;=$U212)*$U$8:$U$307)),0))</f>
        <v/>
      </c>
      <c r="W212" s="25">
        <f>IF($A212="","",IFERROR(INDEX('Ref_Crosswalk'!$E$2:$E$500,MATCH($A212,'Ref_Crosswalk'!$A$2:$A$500,0)),""))</f>
        <v/>
      </c>
      <c r="X212" s="25">
        <f>IF($A212="","",IFERROR(INDEX('Ref_Crosswalk'!$C$2:$C$500,MATCH($A212,'Ref_Crosswalk'!$A$2:$A$500,0)),""))</f>
        <v/>
      </c>
      <c r="Y212" s="25">
        <f>IF($A212="",0,IF(AND(OR('Out_Dashboard'!$C$5="",$W212='Out_Dashboard'!$C$5),OR('Out_Dashboard'!$C$6="",$X212='Out_Dashboard'!$C$6),OR('Out_Dashboard'!$C$7="",$B212='Out_Dashboard'!$C$7)),1,0))</f>
        <v/>
      </c>
      <c r="Z212" s="25">
        <f>IF(AND($A212&lt;&gt;"",$S212&lt;&gt;"",$Y212=1),SUMPRODUCT(($A$8:$A212&lt;&gt;"")*($S$8:$S212&lt;&gt;"")*($Y$8:$Y212=1)),"")</f>
        <v/>
      </c>
      <c r="AA212" s="25">
        <f>IF(AND($A212&lt;&gt;"",$T212&lt;&gt;"",$Y212=1),SUMPRODUCT(($A$8:$A212&lt;&gt;"")*($T$8:$T212&lt;&gt;"")*($Y$8:$Y212=1)),"")</f>
        <v/>
      </c>
    </row>
    <row r="213">
      <c r="A213" s="13" t="n"/>
      <c r="B213" s="13" t="n"/>
      <c r="C213" s="26" t="n"/>
      <c r="D213" s="26" t="n"/>
      <c r="E213" s="26" t="n"/>
      <c r="F213" s="13" t="n"/>
      <c r="G213" s="13" t="n"/>
      <c r="H213" s="13" t="n"/>
      <c r="I213" s="13" t="n"/>
      <c r="J213" s="23">
        <f>IF($A213="","",IFERROR(INDEX('Ref_Crosswalk'!$F$2:$F$500,MATCH($A213,'Ref_Crosswalk'!$A$2:$A$500,0)),"UNKNOWN"))</f>
        <v/>
      </c>
      <c r="K213" s="24">
        <f>IF($A213="","",IFERROR(INDEX('Ref_Tolerance'!$B$2:$B$9,MATCH($J213,'Ref_Tolerance'!$A$2:$A$9,0)),""))</f>
        <v/>
      </c>
      <c r="L213" s="23">
        <f>IF($A213="","",IFERROR(INDEX('Ref_Tolerance'!$D$2:$D$9,MATCH($J213,'Ref_Tolerance'!$A$2:$A$9,0)),""))</f>
        <v/>
      </c>
      <c r="M213" s="24">
        <f>IF($A213="","",IFERROR(ABS(N($D213))/N($C213),0))</f>
        <v/>
      </c>
      <c r="N213" s="24">
        <f>IF($A213="","",IFERROR(N($E213)/N($C213),0))</f>
        <v/>
      </c>
      <c r="O213" s="23">
        <f>IF($A213="",0,IFERROR(SUMPRODUCT(($A$8:$A$307=$A213)*($P$8:$P$307="FAIL")*($U$8:$U$307&gt;$V213)*($U$8:$U$307&lt;=$U213)),0))</f>
        <v/>
      </c>
      <c r="P213" s="23">
        <f>IF($A213="","",IFERROR(IF(NOT(ISNUMBER($K213)),"CHECK",IF($L213="MARGIN",IF($N213&lt;=$K213,"PASS","FAIL"),IF($M213&lt;=$K213,"PASS","FAIL"))),"CHECK"))</f>
        <v/>
      </c>
      <c r="Q213" s="23">
        <f>IF($A213="","",IFERROR(INDEX('Ref_Tolerance'!$E$2:$E$9,MATCH($J213,'Ref_Tolerance'!$A$2:$A$9,0)),""))</f>
        <v/>
      </c>
      <c r="R213" s="23">
        <f>IF($A213="","",IFERROR(IF($O213=0,"CLEAR",IF($O213=1,"MFR DUE - MANAGER",IF($O213=2,"MFR DUE - FSS/CC SIGNATURE REQUIRED","INVESTIGATION + REPORT OF SURVEY; MSG/CC NOTIFIED"))),""))</f>
        <v/>
      </c>
      <c r="S213" s="23">
        <f>IF($A213="","",IF($O213=2,"WATCH - ONE MORE MISS TRIGGERS INVESTIGATION",""))</f>
        <v/>
      </c>
      <c r="T213" s="23">
        <f>IF($A213="","",IFERROR(IF(AND($O213&gt;=1,$F213&lt;&gt;"Y"),"MFR NOT SUBMITTED",IF(AND($O213&gt;=2,$G213&lt;&gt;"Y"),"FSS/CC SIGNATURE MISSING",IF(AND($O213&gt;=3,$H213&lt;&gt;"Y"),"INVESTIGATION NOT OPENED",""))),""))</f>
        <v/>
      </c>
      <c r="U213" s="25">
        <f>IF($A213="",0,IFERROR(MATCH($B213,'Ref_Calendar'!$A$2:$A$500,0),0))</f>
        <v/>
      </c>
      <c r="V213" s="25">
        <f>IF($A213="",0,IFERROR(SUMPRODUCT(MAX(($A$8:$A$307=$A213)*($P$8:$P$307="PASS")*($U$8:$U$307&lt;=$U213)*$U$8:$U$307)),0))</f>
        <v/>
      </c>
      <c r="W213" s="25">
        <f>IF($A213="","",IFERROR(INDEX('Ref_Crosswalk'!$E$2:$E$500,MATCH($A213,'Ref_Crosswalk'!$A$2:$A$500,0)),""))</f>
        <v/>
      </c>
      <c r="X213" s="25">
        <f>IF($A213="","",IFERROR(INDEX('Ref_Crosswalk'!$C$2:$C$500,MATCH($A213,'Ref_Crosswalk'!$A$2:$A$500,0)),""))</f>
        <v/>
      </c>
      <c r="Y213" s="25">
        <f>IF($A213="",0,IF(AND(OR('Out_Dashboard'!$C$5="",$W213='Out_Dashboard'!$C$5),OR('Out_Dashboard'!$C$6="",$X213='Out_Dashboard'!$C$6),OR('Out_Dashboard'!$C$7="",$B213='Out_Dashboard'!$C$7)),1,0))</f>
        <v/>
      </c>
      <c r="Z213" s="25">
        <f>IF(AND($A213&lt;&gt;"",$S213&lt;&gt;"",$Y213=1),SUMPRODUCT(($A$8:$A213&lt;&gt;"")*($S$8:$S213&lt;&gt;"")*($Y$8:$Y213=1)),"")</f>
        <v/>
      </c>
      <c r="AA213" s="25">
        <f>IF(AND($A213&lt;&gt;"",$T213&lt;&gt;"",$Y213=1),SUMPRODUCT(($A$8:$A213&lt;&gt;"")*($T$8:$T213&lt;&gt;"")*($Y$8:$Y213=1)),"")</f>
        <v/>
      </c>
    </row>
    <row r="214">
      <c r="A214" s="13" t="n"/>
      <c r="B214" s="13" t="n"/>
      <c r="C214" s="26" t="n"/>
      <c r="D214" s="26" t="n"/>
      <c r="E214" s="26" t="n"/>
      <c r="F214" s="13" t="n"/>
      <c r="G214" s="13" t="n"/>
      <c r="H214" s="13" t="n"/>
      <c r="I214" s="13" t="n"/>
      <c r="J214" s="23">
        <f>IF($A214="","",IFERROR(INDEX('Ref_Crosswalk'!$F$2:$F$500,MATCH($A214,'Ref_Crosswalk'!$A$2:$A$500,0)),"UNKNOWN"))</f>
        <v/>
      </c>
      <c r="K214" s="24">
        <f>IF($A214="","",IFERROR(INDEX('Ref_Tolerance'!$B$2:$B$9,MATCH($J214,'Ref_Tolerance'!$A$2:$A$9,0)),""))</f>
        <v/>
      </c>
      <c r="L214" s="23">
        <f>IF($A214="","",IFERROR(INDEX('Ref_Tolerance'!$D$2:$D$9,MATCH($J214,'Ref_Tolerance'!$A$2:$A$9,0)),""))</f>
        <v/>
      </c>
      <c r="M214" s="24">
        <f>IF($A214="","",IFERROR(ABS(N($D214))/N($C214),0))</f>
        <v/>
      </c>
      <c r="N214" s="24">
        <f>IF($A214="","",IFERROR(N($E214)/N($C214),0))</f>
        <v/>
      </c>
      <c r="O214" s="23">
        <f>IF($A214="",0,IFERROR(SUMPRODUCT(($A$8:$A$307=$A214)*($P$8:$P$307="FAIL")*($U$8:$U$307&gt;$V214)*($U$8:$U$307&lt;=$U214)),0))</f>
        <v/>
      </c>
      <c r="P214" s="23">
        <f>IF($A214="","",IFERROR(IF(NOT(ISNUMBER($K214)),"CHECK",IF($L214="MARGIN",IF($N214&lt;=$K214,"PASS","FAIL"),IF($M214&lt;=$K214,"PASS","FAIL"))),"CHECK"))</f>
        <v/>
      </c>
      <c r="Q214" s="23">
        <f>IF($A214="","",IFERROR(INDEX('Ref_Tolerance'!$E$2:$E$9,MATCH($J214,'Ref_Tolerance'!$A$2:$A$9,0)),""))</f>
        <v/>
      </c>
      <c r="R214" s="23">
        <f>IF($A214="","",IFERROR(IF($O214=0,"CLEAR",IF($O214=1,"MFR DUE - MANAGER",IF($O214=2,"MFR DUE - FSS/CC SIGNATURE REQUIRED","INVESTIGATION + REPORT OF SURVEY; MSG/CC NOTIFIED"))),""))</f>
        <v/>
      </c>
      <c r="S214" s="23">
        <f>IF($A214="","",IF($O214=2,"WATCH - ONE MORE MISS TRIGGERS INVESTIGATION",""))</f>
        <v/>
      </c>
      <c r="T214" s="23">
        <f>IF($A214="","",IFERROR(IF(AND($O214&gt;=1,$F214&lt;&gt;"Y"),"MFR NOT SUBMITTED",IF(AND($O214&gt;=2,$G214&lt;&gt;"Y"),"FSS/CC SIGNATURE MISSING",IF(AND($O214&gt;=3,$H214&lt;&gt;"Y"),"INVESTIGATION NOT OPENED",""))),""))</f>
        <v/>
      </c>
      <c r="U214" s="25">
        <f>IF($A214="",0,IFERROR(MATCH($B214,'Ref_Calendar'!$A$2:$A$500,0),0))</f>
        <v/>
      </c>
      <c r="V214" s="25">
        <f>IF($A214="",0,IFERROR(SUMPRODUCT(MAX(($A$8:$A$307=$A214)*($P$8:$P$307="PASS")*($U$8:$U$307&lt;=$U214)*$U$8:$U$307)),0))</f>
        <v/>
      </c>
      <c r="W214" s="25">
        <f>IF($A214="","",IFERROR(INDEX('Ref_Crosswalk'!$E$2:$E$500,MATCH($A214,'Ref_Crosswalk'!$A$2:$A$500,0)),""))</f>
        <v/>
      </c>
      <c r="X214" s="25">
        <f>IF($A214="","",IFERROR(INDEX('Ref_Crosswalk'!$C$2:$C$500,MATCH($A214,'Ref_Crosswalk'!$A$2:$A$500,0)),""))</f>
        <v/>
      </c>
      <c r="Y214" s="25">
        <f>IF($A214="",0,IF(AND(OR('Out_Dashboard'!$C$5="",$W214='Out_Dashboard'!$C$5),OR('Out_Dashboard'!$C$6="",$X214='Out_Dashboard'!$C$6),OR('Out_Dashboard'!$C$7="",$B214='Out_Dashboard'!$C$7)),1,0))</f>
        <v/>
      </c>
      <c r="Z214" s="25">
        <f>IF(AND($A214&lt;&gt;"",$S214&lt;&gt;"",$Y214=1),SUMPRODUCT(($A$8:$A214&lt;&gt;"")*($S$8:$S214&lt;&gt;"")*($Y$8:$Y214=1)),"")</f>
        <v/>
      </c>
      <c r="AA214" s="25">
        <f>IF(AND($A214&lt;&gt;"",$T214&lt;&gt;"",$Y214=1),SUMPRODUCT(($A$8:$A214&lt;&gt;"")*($T$8:$T214&lt;&gt;"")*($Y$8:$Y214=1)),"")</f>
        <v/>
      </c>
    </row>
    <row r="215">
      <c r="A215" s="13" t="n"/>
      <c r="B215" s="13" t="n"/>
      <c r="C215" s="26" t="n"/>
      <c r="D215" s="26" t="n"/>
      <c r="E215" s="26" t="n"/>
      <c r="F215" s="13" t="n"/>
      <c r="G215" s="13" t="n"/>
      <c r="H215" s="13" t="n"/>
      <c r="I215" s="13" t="n"/>
      <c r="J215" s="23">
        <f>IF($A215="","",IFERROR(INDEX('Ref_Crosswalk'!$F$2:$F$500,MATCH($A215,'Ref_Crosswalk'!$A$2:$A$500,0)),"UNKNOWN"))</f>
        <v/>
      </c>
      <c r="K215" s="24">
        <f>IF($A215="","",IFERROR(INDEX('Ref_Tolerance'!$B$2:$B$9,MATCH($J215,'Ref_Tolerance'!$A$2:$A$9,0)),""))</f>
        <v/>
      </c>
      <c r="L215" s="23">
        <f>IF($A215="","",IFERROR(INDEX('Ref_Tolerance'!$D$2:$D$9,MATCH($J215,'Ref_Tolerance'!$A$2:$A$9,0)),""))</f>
        <v/>
      </c>
      <c r="M215" s="24">
        <f>IF($A215="","",IFERROR(ABS(N($D215))/N($C215),0))</f>
        <v/>
      </c>
      <c r="N215" s="24">
        <f>IF($A215="","",IFERROR(N($E215)/N($C215),0))</f>
        <v/>
      </c>
      <c r="O215" s="23">
        <f>IF($A215="",0,IFERROR(SUMPRODUCT(($A$8:$A$307=$A215)*($P$8:$P$307="FAIL")*($U$8:$U$307&gt;$V215)*($U$8:$U$307&lt;=$U215)),0))</f>
        <v/>
      </c>
      <c r="P215" s="23">
        <f>IF($A215="","",IFERROR(IF(NOT(ISNUMBER($K215)),"CHECK",IF($L215="MARGIN",IF($N215&lt;=$K215,"PASS","FAIL"),IF($M215&lt;=$K215,"PASS","FAIL"))),"CHECK"))</f>
        <v/>
      </c>
      <c r="Q215" s="23">
        <f>IF($A215="","",IFERROR(INDEX('Ref_Tolerance'!$E$2:$E$9,MATCH($J215,'Ref_Tolerance'!$A$2:$A$9,0)),""))</f>
        <v/>
      </c>
      <c r="R215" s="23">
        <f>IF($A215="","",IFERROR(IF($O215=0,"CLEAR",IF($O215=1,"MFR DUE - MANAGER",IF($O215=2,"MFR DUE - FSS/CC SIGNATURE REQUIRED","INVESTIGATION + REPORT OF SURVEY; MSG/CC NOTIFIED"))),""))</f>
        <v/>
      </c>
      <c r="S215" s="23">
        <f>IF($A215="","",IF($O215=2,"WATCH - ONE MORE MISS TRIGGERS INVESTIGATION",""))</f>
        <v/>
      </c>
      <c r="T215" s="23">
        <f>IF($A215="","",IFERROR(IF(AND($O215&gt;=1,$F215&lt;&gt;"Y"),"MFR NOT SUBMITTED",IF(AND($O215&gt;=2,$G215&lt;&gt;"Y"),"FSS/CC SIGNATURE MISSING",IF(AND($O215&gt;=3,$H215&lt;&gt;"Y"),"INVESTIGATION NOT OPENED",""))),""))</f>
        <v/>
      </c>
      <c r="U215" s="25">
        <f>IF($A215="",0,IFERROR(MATCH($B215,'Ref_Calendar'!$A$2:$A$500,0),0))</f>
        <v/>
      </c>
      <c r="V215" s="25">
        <f>IF($A215="",0,IFERROR(SUMPRODUCT(MAX(($A$8:$A$307=$A215)*($P$8:$P$307="PASS")*($U$8:$U$307&lt;=$U215)*$U$8:$U$307)),0))</f>
        <v/>
      </c>
      <c r="W215" s="25">
        <f>IF($A215="","",IFERROR(INDEX('Ref_Crosswalk'!$E$2:$E$500,MATCH($A215,'Ref_Crosswalk'!$A$2:$A$500,0)),""))</f>
        <v/>
      </c>
      <c r="X215" s="25">
        <f>IF($A215="","",IFERROR(INDEX('Ref_Crosswalk'!$C$2:$C$500,MATCH($A215,'Ref_Crosswalk'!$A$2:$A$500,0)),""))</f>
        <v/>
      </c>
      <c r="Y215" s="25">
        <f>IF($A215="",0,IF(AND(OR('Out_Dashboard'!$C$5="",$W215='Out_Dashboard'!$C$5),OR('Out_Dashboard'!$C$6="",$X215='Out_Dashboard'!$C$6),OR('Out_Dashboard'!$C$7="",$B215='Out_Dashboard'!$C$7)),1,0))</f>
        <v/>
      </c>
      <c r="Z215" s="25">
        <f>IF(AND($A215&lt;&gt;"",$S215&lt;&gt;"",$Y215=1),SUMPRODUCT(($A$8:$A215&lt;&gt;"")*($S$8:$S215&lt;&gt;"")*($Y$8:$Y215=1)),"")</f>
        <v/>
      </c>
      <c r="AA215" s="25">
        <f>IF(AND($A215&lt;&gt;"",$T215&lt;&gt;"",$Y215=1),SUMPRODUCT(($A$8:$A215&lt;&gt;"")*($T$8:$T215&lt;&gt;"")*($Y$8:$Y215=1)),"")</f>
        <v/>
      </c>
    </row>
    <row r="216">
      <c r="A216" s="13" t="n"/>
      <c r="B216" s="13" t="n"/>
      <c r="C216" s="26" t="n"/>
      <c r="D216" s="26" t="n"/>
      <c r="E216" s="26" t="n"/>
      <c r="F216" s="13" t="n"/>
      <c r="G216" s="13" t="n"/>
      <c r="H216" s="13" t="n"/>
      <c r="I216" s="13" t="n"/>
      <c r="J216" s="23">
        <f>IF($A216="","",IFERROR(INDEX('Ref_Crosswalk'!$F$2:$F$500,MATCH($A216,'Ref_Crosswalk'!$A$2:$A$500,0)),"UNKNOWN"))</f>
        <v/>
      </c>
      <c r="K216" s="24">
        <f>IF($A216="","",IFERROR(INDEX('Ref_Tolerance'!$B$2:$B$9,MATCH($J216,'Ref_Tolerance'!$A$2:$A$9,0)),""))</f>
        <v/>
      </c>
      <c r="L216" s="23">
        <f>IF($A216="","",IFERROR(INDEX('Ref_Tolerance'!$D$2:$D$9,MATCH($J216,'Ref_Tolerance'!$A$2:$A$9,0)),""))</f>
        <v/>
      </c>
      <c r="M216" s="24">
        <f>IF($A216="","",IFERROR(ABS(N($D216))/N($C216),0))</f>
        <v/>
      </c>
      <c r="N216" s="24">
        <f>IF($A216="","",IFERROR(N($E216)/N($C216),0))</f>
        <v/>
      </c>
      <c r="O216" s="23">
        <f>IF($A216="",0,IFERROR(SUMPRODUCT(($A$8:$A$307=$A216)*($P$8:$P$307="FAIL")*($U$8:$U$307&gt;$V216)*($U$8:$U$307&lt;=$U216)),0))</f>
        <v/>
      </c>
      <c r="P216" s="23">
        <f>IF($A216="","",IFERROR(IF(NOT(ISNUMBER($K216)),"CHECK",IF($L216="MARGIN",IF($N216&lt;=$K216,"PASS","FAIL"),IF($M216&lt;=$K216,"PASS","FAIL"))),"CHECK"))</f>
        <v/>
      </c>
      <c r="Q216" s="23">
        <f>IF($A216="","",IFERROR(INDEX('Ref_Tolerance'!$E$2:$E$9,MATCH($J216,'Ref_Tolerance'!$A$2:$A$9,0)),""))</f>
        <v/>
      </c>
      <c r="R216" s="23">
        <f>IF($A216="","",IFERROR(IF($O216=0,"CLEAR",IF($O216=1,"MFR DUE - MANAGER",IF($O216=2,"MFR DUE - FSS/CC SIGNATURE REQUIRED","INVESTIGATION + REPORT OF SURVEY; MSG/CC NOTIFIED"))),""))</f>
        <v/>
      </c>
      <c r="S216" s="23">
        <f>IF($A216="","",IF($O216=2,"WATCH - ONE MORE MISS TRIGGERS INVESTIGATION",""))</f>
        <v/>
      </c>
      <c r="T216" s="23">
        <f>IF($A216="","",IFERROR(IF(AND($O216&gt;=1,$F216&lt;&gt;"Y"),"MFR NOT SUBMITTED",IF(AND($O216&gt;=2,$G216&lt;&gt;"Y"),"FSS/CC SIGNATURE MISSING",IF(AND($O216&gt;=3,$H216&lt;&gt;"Y"),"INVESTIGATION NOT OPENED",""))),""))</f>
        <v/>
      </c>
      <c r="U216" s="25">
        <f>IF($A216="",0,IFERROR(MATCH($B216,'Ref_Calendar'!$A$2:$A$500,0),0))</f>
        <v/>
      </c>
      <c r="V216" s="25">
        <f>IF($A216="",0,IFERROR(SUMPRODUCT(MAX(($A$8:$A$307=$A216)*($P$8:$P$307="PASS")*($U$8:$U$307&lt;=$U216)*$U$8:$U$307)),0))</f>
        <v/>
      </c>
      <c r="W216" s="25">
        <f>IF($A216="","",IFERROR(INDEX('Ref_Crosswalk'!$E$2:$E$500,MATCH($A216,'Ref_Crosswalk'!$A$2:$A$500,0)),""))</f>
        <v/>
      </c>
      <c r="X216" s="25">
        <f>IF($A216="","",IFERROR(INDEX('Ref_Crosswalk'!$C$2:$C$500,MATCH($A216,'Ref_Crosswalk'!$A$2:$A$500,0)),""))</f>
        <v/>
      </c>
      <c r="Y216" s="25">
        <f>IF($A216="",0,IF(AND(OR('Out_Dashboard'!$C$5="",$W216='Out_Dashboard'!$C$5),OR('Out_Dashboard'!$C$6="",$X216='Out_Dashboard'!$C$6),OR('Out_Dashboard'!$C$7="",$B216='Out_Dashboard'!$C$7)),1,0))</f>
        <v/>
      </c>
      <c r="Z216" s="25">
        <f>IF(AND($A216&lt;&gt;"",$S216&lt;&gt;"",$Y216=1),SUMPRODUCT(($A$8:$A216&lt;&gt;"")*($S$8:$S216&lt;&gt;"")*($Y$8:$Y216=1)),"")</f>
        <v/>
      </c>
      <c r="AA216" s="25">
        <f>IF(AND($A216&lt;&gt;"",$T216&lt;&gt;"",$Y216=1),SUMPRODUCT(($A$8:$A216&lt;&gt;"")*($T$8:$T216&lt;&gt;"")*($Y$8:$Y216=1)),"")</f>
        <v/>
      </c>
    </row>
    <row r="217">
      <c r="A217" s="13" t="n"/>
      <c r="B217" s="13" t="n"/>
      <c r="C217" s="26" t="n"/>
      <c r="D217" s="26" t="n"/>
      <c r="E217" s="26" t="n"/>
      <c r="F217" s="13" t="n"/>
      <c r="G217" s="13" t="n"/>
      <c r="H217" s="13" t="n"/>
      <c r="I217" s="13" t="n"/>
      <c r="J217" s="23">
        <f>IF($A217="","",IFERROR(INDEX('Ref_Crosswalk'!$F$2:$F$500,MATCH($A217,'Ref_Crosswalk'!$A$2:$A$500,0)),"UNKNOWN"))</f>
        <v/>
      </c>
      <c r="K217" s="24">
        <f>IF($A217="","",IFERROR(INDEX('Ref_Tolerance'!$B$2:$B$9,MATCH($J217,'Ref_Tolerance'!$A$2:$A$9,0)),""))</f>
        <v/>
      </c>
      <c r="L217" s="23">
        <f>IF($A217="","",IFERROR(INDEX('Ref_Tolerance'!$D$2:$D$9,MATCH($J217,'Ref_Tolerance'!$A$2:$A$9,0)),""))</f>
        <v/>
      </c>
      <c r="M217" s="24">
        <f>IF($A217="","",IFERROR(ABS(N($D217))/N($C217),0))</f>
        <v/>
      </c>
      <c r="N217" s="24">
        <f>IF($A217="","",IFERROR(N($E217)/N($C217),0))</f>
        <v/>
      </c>
      <c r="O217" s="23">
        <f>IF($A217="",0,IFERROR(SUMPRODUCT(($A$8:$A$307=$A217)*($P$8:$P$307="FAIL")*($U$8:$U$307&gt;$V217)*($U$8:$U$307&lt;=$U217)),0))</f>
        <v/>
      </c>
      <c r="P217" s="23">
        <f>IF($A217="","",IFERROR(IF(NOT(ISNUMBER($K217)),"CHECK",IF($L217="MARGIN",IF($N217&lt;=$K217,"PASS","FAIL"),IF($M217&lt;=$K217,"PASS","FAIL"))),"CHECK"))</f>
        <v/>
      </c>
      <c r="Q217" s="23">
        <f>IF($A217="","",IFERROR(INDEX('Ref_Tolerance'!$E$2:$E$9,MATCH($J217,'Ref_Tolerance'!$A$2:$A$9,0)),""))</f>
        <v/>
      </c>
      <c r="R217" s="23">
        <f>IF($A217="","",IFERROR(IF($O217=0,"CLEAR",IF($O217=1,"MFR DUE - MANAGER",IF($O217=2,"MFR DUE - FSS/CC SIGNATURE REQUIRED","INVESTIGATION + REPORT OF SURVEY; MSG/CC NOTIFIED"))),""))</f>
        <v/>
      </c>
      <c r="S217" s="23">
        <f>IF($A217="","",IF($O217=2,"WATCH - ONE MORE MISS TRIGGERS INVESTIGATION",""))</f>
        <v/>
      </c>
      <c r="T217" s="23">
        <f>IF($A217="","",IFERROR(IF(AND($O217&gt;=1,$F217&lt;&gt;"Y"),"MFR NOT SUBMITTED",IF(AND($O217&gt;=2,$G217&lt;&gt;"Y"),"FSS/CC SIGNATURE MISSING",IF(AND($O217&gt;=3,$H217&lt;&gt;"Y"),"INVESTIGATION NOT OPENED",""))),""))</f>
        <v/>
      </c>
      <c r="U217" s="25">
        <f>IF($A217="",0,IFERROR(MATCH($B217,'Ref_Calendar'!$A$2:$A$500,0),0))</f>
        <v/>
      </c>
      <c r="V217" s="25">
        <f>IF($A217="",0,IFERROR(SUMPRODUCT(MAX(($A$8:$A$307=$A217)*($P$8:$P$307="PASS")*($U$8:$U$307&lt;=$U217)*$U$8:$U$307)),0))</f>
        <v/>
      </c>
      <c r="W217" s="25">
        <f>IF($A217="","",IFERROR(INDEX('Ref_Crosswalk'!$E$2:$E$500,MATCH($A217,'Ref_Crosswalk'!$A$2:$A$500,0)),""))</f>
        <v/>
      </c>
      <c r="X217" s="25">
        <f>IF($A217="","",IFERROR(INDEX('Ref_Crosswalk'!$C$2:$C$500,MATCH($A217,'Ref_Crosswalk'!$A$2:$A$500,0)),""))</f>
        <v/>
      </c>
      <c r="Y217" s="25">
        <f>IF($A217="",0,IF(AND(OR('Out_Dashboard'!$C$5="",$W217='Out_Dashboard'!$C$5),OR('Out_Dashboard'!$C$6="",$X217='Out_Dashboard'!$C$6),OR('Out_Dashboard'!$C$7="",$B217='Out_Dashboard'!$C$7)),1,0))</f>
        <v/>
      </c>
      <c r="Z217" s="25">
        <f>IF(AND($A217&lt;&gt;"",$S217&lt;&gt;"",$Y217=1),SUMPRODUCT(($A$8:$A217&lt;&gt;"")*($S$8:$S217&lt;&gt;"")*($Y$8:$Y217=1)),"")</f>
        <v/>
      </c>
      <c r="AA217" s="25">
        <f>IF(AND($A217&lt;&gt;"",$T217&lt;&gt;"",$Y217=1),SUMPRODUCT(($A$8:$A217&lt;&gt;"")*($T$8:$T217&lt;&gt;"")*($Y$8:$Y217=1)),"")</f>
        <v/>
      </c>
    </row>
    <row r="218">
      <c r="A218" s="13" t="n"/>
      <c r="B218" s="13" t="n"/>
      <c r="C218" s="26" t="n"/>
      <c r="D218" s="26" t="n"/>
      <c r="E218" s="26" t="n"/>
      <c r="F218" s="13" t="n"/>
      <c r="G218" s="13" t="n"/>
      <c r="H218" s="13" t="n"/>
      <c r="I218" s="13" t="n"/>
      <c r="J218" s="23">
        <f>IF($A218="","",IFERROR(INDEX('Ref_Crosswalk'!$F$2:$F$500,MATCH($A218,'Ref_Crosswalk'!$A$2:$A$500,0)),"UNKNOWN"))</f>
        <v/>
      </c>
      <c r="K218" s="24">
        <f>IF($A218="","",IFERROR(INDEX('Ref_Tolerance'!$B$2:$B$9,MATCH($J218,'Ref_Tolerance'!$A$2:$A$9,0)),""))</f>
        <v/>
      </c>
      <c r="L218" s="23">
        <f>IF($A218="","",IFERROR(INDEX('Ref_Tolerance'!$D$2:$D$9,MATCH($J218,'Ref_Tolerance'!$A$2:$A$9,0)),""))</f>
        <v/>
      </c>
      <c r="M218" s="24">
        <f>IF($A218="","",IFERROR(ABS(N($D218))/N($C218),0))</f>
        <v/>
      </c>
      <c r="N218" s="24">
        <f>IF($A218="","",IFERROR(N($E218)/N($C218),0))</f>
        <v/>
      </c>
      <c r="O218" s="23">
        <f>IF($A218="",0,IFERROR(SUMPRODUCT(($A$8:$A$307=$A218)*($P$8:$P$307="FAIL")*($U$8:$U$307&gt;$V218)*($U$8:$U$307&lt;=$U218)),0))</f>
        <v/>
      </c>
      <c r="P218" s="23">
        <f>IF($A218="","",IFERROR(IF(NOT(ISNUMBER($K218)),"CHECK",IF($L218="MARGIN",IF($N218&lt;=$K218,"PASS","FAIL"),IF($M218&lt;=$K218,"PASS","FAIL"))),"CHECK"))</f>
        <v/>
      </c>
      <c r="Q218" s="23">
        <f>IF($A218="","",IFERROR(INDEX('Ref_Tolerance'!$E$2:$E$9,MATCH($J218,'Ref_Tolerance'!$A$2:$A$9,0)),""))</f>
        <v/>
      </c>
      <c r="R218" s="23">
        <f>IF($A218="","",IFERROR(IF($O218=0,"CLEAR",IF($O218=1,"MFR DUE - MANAGER",IF($O218=2,"MFR DUE - FSS/CC SIGNATURE REQUIRED","INVESTIGATION + REPORT OF SURVEY; MSG/CC NOTIFIED"))),""))</f>
        <v/>
      </c>
      <c r="S218" s="23">
        <f>IF($A218="","",IF($O218=2,"WATCH - ONE MORE MISS TRIGGERS INVESTIGATION",""))</f>
        <v/>
      </c>
      <c r="T218" s="23">
        <f>IF($A218="","",IFERROR(IF(AND($O218&gt;=1,$F218&lt;&gt;"Y"),"MFR NOT SUBMITTED",IF(AND($O218&gt;=2,$G218&lt;&gt;"Y"),"FSS/CC SIGNATURE MISSING",IF(AND($O218&gt;=3,$H218&lt;&gt;"Y"),"INVESTIGATION NOT OPENED",""))),""))</f>
        <v/>
      </c>
      <c r="U218" s="25">
        <f>IF($A218="",0,IFERROR(MATCH($B218,'Ref_Calendar'!$A$2:$A$500,0),0))</f>
        <v/>
      </c>
      <c r="V218" s="25">
        <f>IF($A218="",0,IFERROR(SUMPRODUCT(MAX(($A$8:$A$307=$A218)*($P$8:$P$307="PASS")*($U$8:$U$307&lt;=$U218)*$U$8:$U$307)),0))</f>
        <v/>
      </c>
      <c r="W218" s="25">
        <f>IF($A218="","",IFERROR(INDEX('Ref_Crosswalk'!$E$2:$E$500,MATCH($A218,'Ref_Crosswalk'!$A$2:$A$500,0)),""))</f>
        <v/>
      </c>
      <c r="X218" s="25">
        <f>IF($A218="","",IFERROR(INDEX('Ref_Crosswalk'!$C$2:$C$500,MATCH($A218,'Ref_Crosswalk'!$A$2:$A$500,0)),""))</f>
        <v/>
      </c>
      <c r="Y218" s="25">
        <f>IF($A218="",0,IF(AND(OR('Out_Dashboard'!$C$5="",$W218='Out_Dashboard'!$C$5),OR('Out_Dashboard'!$C$6="",$X218='Out_Dashboard'!$C$6),OR('Out_Dashboard'!$C$7="",$B218='Out_Dashboard'!$C$7)),1,0))</f>
        <v/>
      </c>
      <c r="Z218" s="25">
        <f>IF(AND($A218&lt;&gt;"",$S218&lt;&gt;"",$Y218=1),SUMPRODUCT(($A$8:$A218&lt;&gt;"")*($S$8:$S218&lt;&gt;"")*($Y$8:$Y218=1)),"")</f>
        <v/>
      </c>
      <c r="AA218" s="25">
        <f>IF(AND($A218&lt;&gt;"",$T218&lt;&gt;"",$Y218=1),SUMPRODUCT(($A$8:$A218&lt;&gt;"")*($T$8:$T218&lt;&gt;"")*($Y$8:$Y218=1)),"")</f>
        <v/>
      </c>
    </row>
    <row r="219">
      <c r="A219" s="13" t="n"/>
      <c r="B219" s="13" t="n"/>
      <c r="C219" s="26" t="n"/>
      <c r="D219" s="26" t="n"/>
      <c r="E219" s="26" t="n"/>
      <c r="F219" s="13" t="n"/>
      <c r="G219" s="13" t="n"/>
      <c r="H219" s="13" t="n"/>
      <c r="I219" s="13" t="n"/>
      <c r="J219" s="23">
        <f>IF($A219="","",IFERROR(INDEX('Ref_Crosswalk'!$F$2:$F$500,MATCH($A219,'Ref_Crosswalk'!$A$2:$A$500,0)),"UNKNOWN"))</f>
        <v/>
      </c>
      <c r="K219" s="24">
        <f>IF($A219="","",IFERROR(INDEX('Ref_Tolerance'!$B$2:$B$9,MATCH($J219,'Ref_Tolerance'!$A$2:$A$9,0)),""))</f>
        <v/>
      </c>
      <c r="L219" s="23">
        <f>IF($A219="","",IFERROR(INDEX('Ref_Tolerance'!$D$2:$D$9,MATCH($J219,'Ref_Tolerance'!$A$2:$A$9,0)),""))</f>
        <v/>
      </c>
      <c r="M219" s="24">
        <f>IF($A219="","",IFERROR(ABS(N($D219))/N($C219),0))</f>
        <v/>
      </c>
      <c r="N219" s="24">
        <f>IF($A219="","",IFERROR(N($E219)/N($C219),0))</f>
        <v/>
      </c>
      <c r="O219" s="23">
        <f>IF($A219="",0,IFERROR(SUMPRODUCT(($A$8:$A$307=$A219)*($P$8:$P$307="FAIL")*($U$8:$U$307&gt;$V219)*($U$8:$U$307&lt;=$U219)),0))</f>
        <v/>
      </c>
      <c r="P219" s="23">
        <f>IF($A219="","",IFERROR(IF(NOT(ISNUMBER($K219)),"CHECK",IF($L219="MARGIN",IF($N219&lt;=$K219,"PASS","FAIL"),IF($M219&lt;=$K219,"PASS","FAIL"))),"CHECK"))</f>
        <v/>
      </c>
      <c r="Q219" s="23">
        <f>IF($A219="","",IFERROR(INDEX('Ref_Tolerance'!$E$2:$E$9,MATCH($J219,'Ref_Tolerance'!$A$2:$A$9,0)),""))</f>
        <v/>
      </c>
      <c r="R219" s="23">
        <f>IF($A219="","",IFERROR(IF($O219=0,"CLEAR",IF($O219=1,"MFR DUE - MANAGER",IF($O219=2,"MFR DUE - FSS/CC SIGNATURE REQUIRED","INVESTIGATION + REPORT OF SURVEY; MSG/CC NOTIFIED"))),""))</f>
        <v/>
      </c>
      <c r="S219" s="23">
        <f>IF($A219="","",IF($O219=2,"WATCH - ONE MORE MISS TRIGGERS INVESTIGATION",""))</f>
        <v/>
      </c>
      <c r="T219" s="23">
        <f>IF($A219="","",IFERROR(IF(AND($O219&gt;=1,$F219&lt;&gt;"Y"),"MFR NOT SUBMITTED",IF(AND($O219&gt;=2,$G219&lt;&gt;"Y"),"FSS/CC SIGNATURE MISSING",IF(AND($O219&gt;=3,$H219&lt;&gt;"Y"),"INVESTIGATION NOT OPENED",""))),""))</f>
        <v/>
      </c>
      <c r="U219" s="25">
        <f>IF($A219="",0,IFERROR(MATCH($B219,'Ref_Calendar'!$A$2:$A$500,0),0))</f>
        <v/>
      </c>
      <c r="V219" s="25">
        <f>IF($A219="",0,IFERROR(SUMPRODUCT(MAX(($A$8:$A$307=$A219)*($P$8:$P$307="PASS")*($U$8:$U$307&lt;=$U219)*$U$8:$U$307)),0))</f>
        <v/>
      </c>
      <c r="W219" s="25">
        <f>IF($A219="","",IFERROR(INDEX('Ref_Crosswalk'!$E$2:$E$500,MATCH($A219,'Ref_Crosswalk'!$A$2:$A$500,0)),""))</f>
        <v/>
      </c>
      <c r="X219" s="25">
        <f>IF($A219="","",IFERROR(INDEX('Ref_Crosswalk'!$C$2:$C$500,MATCH($A219,'Ref_Crosswalk'!$A$2:$A$500,0)),""))</f>
        <v/>
      </c>
      <c r="Y219" s="25">
        <f>IF($A219="",0,IF(AND(OR('Out_Dashboard'!$C$5="",$W219='Out_Dashboard'!$C$5),OR('Out_Dashboard'!$C$6="",$X219='Out_Dashboard'!$C$6),OR('Out_Dashboard'!$C$7="",$B219='Out_Dashboard'!$C$7)),1,0))</f>
        <v/>
      </c>
      <c r="Z219" s="25">
        <f>IF(AND($A219&lt;&gt;"",$S219&lt;&gt;"",$Y219=1),SUMPRODUCT(($A$8:$A219&lt;&gt;"")*($S$8:$S219&lt;&gt;"")*($Y$8:$Y219=1)),"")</f>
        <v/>
      </c>
      <c r="AA219" s="25">
        <f>IF(AND($A219&lt;&gt;"",$T219&lt;&gt;"",$Y219=1),SUMPRODUCT(($A$8:$A219&lt;&gt;"")*($T$8:$T219&lt;&gt;"")*($Y$8:$Y219=1)),"")</f>
        <v/>
      </c>
    </row>
    <row r="220">
      <c r="A220" s="13" t="n"/>
      <c r="B220" s="13" t="n"/>
      <c r="C220" s="26" t="n"/>
      <c r="D220" s="26" t="n"/>
      <c r="E220" s="26" t="n"/>
      <c r="F220" s="13" t="n"/>
      <c r="G220" s="13" t="n"/>
      <c r="H220" s="13" t="n"/>
      <c r="I220" s="13" t="n"/>
      <c r="J220" s="23">
        <f>IF($A220="","",IFERROR(INDEX('Ref_Crosswalk'!$F$2:$F$500,MATCH($A220,'Ref_Crosswalk'!$A$2:$A$500,0)),"UNKNOWN"))</f>
        <v/>
      </c>
      <c r="K220" s="24">
        <f>IF($A220="","",IFERROR(INDEX('Ref_Tolerance'!$B$2:$B$9,MATCH($J220,'Ref_Tolerance'!$A$2:$A$9,0)),""))</f>
        <v/>
      </c>
      <c r="L220" s="23">
        <f>IF($A220="","",IFERROR(INDEX('Ref_Tolerance'!$D$2:$D$9,MATCH($J220,'Ref_Tolerance'!$A$2:$A$9,0)),""))</f>
        <v/>
      </c>
      <c r="M220" s="24">
        <f>IF($A220="","",IFERROR(ABS(N($D220))/N($C220),0))</f>
        <v/>
      </c>
      <c r="N220" s="24">
        <f>IF($A220="","",IFERROR(N($E220)/N($C220),0))</f>
        <v/>
      </c>
      <c r="O220" s="23">
        <f>IF($A220="",0,IFERROR(SUMPRODUCT(($A$8:$A$307=$A220)*($P$8:$P$307="FAIL")*($U$8:$U$307&gt;$V220)*($U$8:$U$307&lt;=$U220)),0))</f>
        <v/>
      </c>
      <c r="P220" s="23">
        <f>IF($A220="","",IFERROR(IF(NOT(ISNUMBER($K220)),"CHECK",IF($L220="MARGIN",IF($N220&lt;=$K220,"PASS","FAIL"),IF($M220&lt;=$K220,"PASS","FAIL"))),"CHECK"))</f>
        <v/>
      </c>
      <c r="Q220" s="23">
        <f>IF($A220="","",IFERROR(INDEX('Ref_Tolerance'!$E$2:$E$9,MATCH($J220,'Ref_Tolerance'!$A$2:$A$9,0)),""))</f>
        <v/>
      </c>
      <c r="R220" s="23">
        <f>IF($A220="","",IFERROR(IF($O220=0,"CLEAR",IF($O220=1,"MFR DUE - MANAGER",IF($O220=2,"MFR DUE - FSS/CC SIGNATURE REQUIRED","INVESTIGATION + REPORT OF SURVEY; MSG/CC NOTIFIED"))),""))</f>
        <v/>
      </c>
      <c r="S220" s="23">
        <f>IF($A220="","",IF($O220=2,"WATCH - ONE MORE MISS TRIGGERS INVESTIGATION",""))</f>
        <v/>
      </c>
      <c r="T220" s="23">
        <f>IF($A220="","",IFERROR(IF(AND($O220&gt;=1,$F220&lt;&gt;"Y"),"MFR NOT SUBMITTED",IF(AND($O220&gt;=2,$G220&lt;&gt;"Y"),"FSS/CC SIGNATURE MISSING",IF(AND($O220&gt;=3,$H220&lt;&gt;"Y"),"INVESTIGATION NOT OPENED",""))),""))</f>
        <v/>
      </c>
      <c r="U220" s="25">
        <f>IF($A220="",0,IFERROR(MATCH($B220,'Ref_Calendar'!$A$2:$A$500,0),0))</f>
        <v/>
      </c>
      <c r="V220" s="25">
        <f>IF($A220="",0,IFERROR(SUMPRODUCT(MAX(($A$8:$A$307=$A220)*($P$8:$P$307="PASS")*($U$8:$U$307&lt;=$U220)*$U$8:$U$307)),0))</f>
        <v/>
      </c>
      <c r="W220" s="25">
        <f>IF($A220="","",IFERROR(INDEX('Ref_Crosswalk'!$E$2:$E$500,MATCH($A220,'Ref_Crosswalk'!$A$2:$A$500,0)),""))</f>
        <v/>
      </c>
      <c r="X220" s="25">
        <f>IF($A220="","",IFERROR(INDEX('Ref_Crosswalk'!$C$2:$C$500,MATCH($A220,'Ref_Crosswalk'!$A$2:$A$500,0)),""))</f>
        <v/>
      </c>
      <c r="Y220" s="25">
        <f>IF($A220="",0,IF(AND(OR('Out_Dashboard'!$C$5="",$W220='Out_Dashboard'!$C$5),OR('Out_Dashboard'!$C$6="",$X220='Out_Dashboard'!$C$6),OR('Out_Dashboard'!$C$7="",$B220='Out_Dashboard'!$C$7)),1,0))</f>
        <v/>
      </c>
      <c r="Z220" s="25">
        <f>IF(AND($A220&lt;&gt;"",$S220&lt;&gt;"",$Y220=1),SUMPRODUCT(($A$8:$A220&lt;&gt;"")*($S$8:$S220&lt;&gt;"")*($Y$8:$Y220=1)),"")</f>
        <v/>
      </c>
      <c r="AA220" s="25">
        <f>IF(AND($A220&lt;&gt;"",$T220&lt;&gt;"",$Y220=1),SUMPRODUCT(($A$8:$A220&lt;&gt;"")*($T$8:$T220&lt;&gt;"")*($Y$8:$Y220=1)),"")</f>
        <v/>
      </c>
    </row>
    <row r="221">
      <c r="A221" s="13" t="n"/>
      <c r="B221" s="13" t="n"/>
      <c r="C221" s="26" t="n"/>
      <c r="D221" s="26" t="n"/>
      <c r="E221" s="26" t="n"/>
      <c r="F221" s="13" t="n"/>
      <c r="G221" s="13" t="n"/>
      <c r="H221" s="13" t="n"/>
      <c r="I221" s="13" t="n"/>
      <c r="J221" s="23">
        <f>IF($A221="","",IFERROR(INDEX('Ref_Crosswalk'!$F$2:$F$500,MATCH($A221,'Ref_Crosswalk'!$A$2:$A$500,0)),"UNKNOWN"))</f>
        <v/>
      </c>
      <c r="K221" s="24">
        <f>IF($A221="","",IFERROR(INDEX('Ref_Tolerance'!$B$2:$B$9,MATCH($J221,'Ref_Tolerance'!$A$2:$A$9,0)),""))</f>
        <v/>
      </c>
      <c r="L221" s="23">
        <f>IF($A221="","",IFERROR(INDEX('Ref_Tolerance'!$D$2:$D$9,MATCH($J221,'Ref_Tolerance'!$A$2:$A$9,0)),""))</f>
        <v/>
      </c>
      <c r="M221" s="24">
        <f>IF($A221="","",IFERROR(ABS(N($D221))/N($C221),0))</f>
        <v/>
      </c>
      <c r="N221" s="24">
        <f>IF($A221="","",IFERROR(N($E221)/N($C221),0))</f>
        <v/>
      </c>
      <c r="O221" s="23">
        <f>IF($A221="",0,IFERROR(SUMPRODUCT(($A$8:$A$307=$A221)*($P$8:$P$307="FAIL")*($U$8:$U$307&gt;$V221)*($U$8:$U$307&lt;=$U221)),0))</f>
        <v/>
      </c>
      <c r="P221" s="23">
        <f>IF($A221="","",IFERROR(IF(NOT(ISNUMBER($K221)),"CHECK",IF($L221="MARGIN",IF($N221&lt;=$K221,"PASS","FAIL"),IF($M221&lt;=$K221,"PASS","FAIL"))),"CHECK"))</f>
        <v/>
      </c>
      <c r="Q221" s="23">
        <f>IF($A221="","",IFERROR(INDEX('Ref_Tolerance'!$E$2:$E$9,MATCH($J221,'Ref_Tolerance'!$A$2:$A$9,0)),""))</f>
        <v/>
      </c>
      <c r="R221" s="23">
        <f>IF($A221="","",IFERROR(IF($O221=0,"CLEAR",IF($O221=1,"MFR DUE - MANAGER",IF($O221=2,"MFR DUE - FSS/CC SIGNATURE REQUIRED","INVESTIGATION + REPORT OF SURVEY; MSG/CC NOTIFIED"))),""))</f>
        <v/>
      </c>
      <c r="S221" s="23">
        <f>IF($A221="","",IF($O221=2,"WATCH - ONE MORE MISS TRIGGERS INVESTIGATION",""))</f>
        <v/>
      </c>
      <c r="T221" s="23">
        <f>IF($A221="","",IFERROR(IF(AND($O221&gt;=1,$F221&lt;&gt;"Y"),"MFR NOT SUBMITTED",IF(AND($O221&gt;=2,$G221&lt;&gt;"Y"),"FSS/CC SIGNATURE MISSING",IF(AND($O221&gt;=3,$H221&lt;&gt;"Y"),"INVESTIGATION NOT OPENED",""))),""))</f>
        <v/>
      </c>
      <c r="U221" s="25">
        <f>IF($A221="",0,IFERROR(MATCH($B221,'Ref_Calendar'!$A$2:$A$500,0),0))</f>
        <v/>
      </c>
      <c r="V221" s="25">
        <f>IF($A221="",0,IFERROR(SUMPRODUCT(MAX(($A$8:$A$307=$A221)*($P$8:$P$307="PASS")*($U$8:$U$307&lt;=$U221)*$U$8:$U$307)),0))</f>
        <v/>
      </c>
      <c r="W221" s="25">
        <f>IF($A221="","",IFERROR(INDEX('Ref_Crosswalk'!$E$2:$E$500,MATCH($A221,'Ref_Crosswalk'!$A$2:$A$500,0)),""))</f>
        <v/>
      </c>
      <c r="X221" s="25">
        <f>IF($A221="","",IFERROR(INDEX('Ref_Crosswalk'!$C$2:$C$500,MATCH($A221,'Ref_Crosswalk'!$A$2:$A$500,0)),""))</f>
        <v/>
      </c>
      <c r="Y221" s="25">
        <f>IF($A221="",0,IF(AND(OR('Out_Dashboard'!$C$5="",$W221='Out_Dashboard'!$C$5),OR('Out_Dashboard'!$C$6="",$X221='Out_Dashboard'!$C$6),OR('Out_Dashboard'!$C$7="",$B221='Out_Dashboard'!$C$7)),1,0))</f>
        <v/>
      </c>
      <c r="Z221" s="25">
        <f>IF(AND($A221&lt;&gt;"",$S221&lt;&gt;"",$Y221=1),SUMPRODUCT(($A$8:$A221&lt;&gt;"")*($S$8:$S221&lt;&gt;"")*($Y$8:$Y221=1)),"")</f>
        <v/>
      </c>
      <c r="AA221" s="25">
        <f>IF(AND($A221&lt;&gt;"",$T221&lt;&gt;"",$Y221=1),SUMPRODUCT(($A$8:$A221&lt;&gt;"")*($T$8:$T221&lt;&gt;"")*($Y$8:$Y221=1)),"")</f>
        <v/>
      </c>
    </row>
    <row r="222">
      <c r="A222" s="13" t="n"/>
      <c r="B222" s="13" t="n"/>
      <c r="C222" s="26" t="n"/>
      <c r="D222" s="26" t="n"/>
      <c r="E222" s="26" t="n"/>
      <c r="F222" s="13" t="n"/>
      <c r="G222" s="13" t="n"/>
      <c r="H222" s="13" t="n"/>
      <c r="I222" s="13" t="n"/>
      <c r="J222" s="23">
        <f>IF($A222="","",IFERROR(INDEX('Ref_Crosswalk'!$F$2:$F$500,MATCH($A222,'Ref_Crosswalk'!$A$2:$A$500,0)),"UNKNOWN"))</f>
        <v/>
      </c>
      <c r="K222" s="24">
        <f>IF($A222="","",IFERROR(INDEX('Ref_Tolerance'!$B$2:$B$9,MATCH($J222,'Ref_Tolerance'!$A$2:$A$9,0)),""))</f>
        <v/>
      </c>
      <c r="L222" s="23">
        <f>IF($A222="","",IFERROR(INDEX('Ref_Tolerance'!$D$2:$D$9,MATCH($J222,'Ref_Tolerance'!$A$2:$A$9,0)),""))</f>
        <v/>
      </c>
      <c r="M222" s="24">
        <f>IF($A222="","",IFERROR(ABS(N($D222))/N($C222),0))</f>
        <v/>
      </c>
      <c r="N222" s="24">
        <f>IF($A222="","",IFERROR(N($E222)/N($C222),0))</f>
        <v/>
      </c>
      <c r="O222" s="23">
        <f>IF($A222="",0,IFERROR(SUMPRODUCT(($A$8:$A$307=$A222)*($P$8:$P$307="FAIL")*($U$8:$U$307&gt;$V222)*($U$8:$U$307&lt;=$U222)),0))</f>
        <v/>
      </c>
      <c r="P222" s="23">
        <f>IF($A222="","",IFERROR(IF(NOT(ISNUMBER($K222)),"CHECK",IF($L222="MARGIN",IF($N222&lt;=$K222,"PASS","FAIL"),IF($M222&lt;=$K222,"PASS","FAIL"))),"CHECK"))</f>
        <v/>
      </c>
      <c r="Q222" s="23">
        <f>IF($A222="","",IFERROR(INDEX('Ref_Tolerance'!$E$2:$E$9,MATCH($J222,'Ref_Tolerance'!$A$2:$A$9,0)),""))</f>
        <v/>
      </c>
      <c r="R222" s="23">
        <f>IF($A222="","",IFERROR(IF($O222=0,"CLEAR",IF($O222=1,"MFR DUE - MANAGER",IF($O222=2,"MFR DUE - FSS/CC SIGNATURE REQUIRED","INVESTIGATION + REPORT OF SURVEY; MSG/CC NOTIFIED"))),""))</f>
        <v/>
      </c>
      <c r="S222" s="23">
        <f>IF($A222="","",IF($O222=2,"WATCH - ONE MORE MISS TRIGGERS INVESTIGATION",""))</f>
        <v/>
      </c>
      <c r="T222" s="23">
        <f>IF($A222="","",IFERROR(IF(AND($O222&gt;=1,$F222&lt;&gt;"Y"),"MFR NOT SUBMITTED",IF(AND($O222&gt;=2,$G222&lt;&gt;"Y"),"FSS/CC SIGNATURE MISSING",IF(AND($O222&gt;=3,$H222&lt;&gt;"Y"),"INVESTIGATION NOT OPENED",""))),""))</f>
        <v/>
      </c>
      <c r="U222" s="25">
        <f>IF($A222="",0,IFERROR(MATCH($B222,'Ref_Calendar'!$A$2:$A$500,0),0))</f>
        <v/>
      </c>
      <c r="V222" s="25">
        <f>IF($A222="",0,IFERROR(SUMPRODUCT(MAX(($A$8:$A$307=$A222)*($P$8:$P$307="PASS")*($U$8:$U$307&lt;=$U222)*$U$8:$U$307)),0))</f>
        <v/>
      </c>
      <c r="W222" s="25">
        <f>IF($A222="","",IFERROR(INDEX('Ref_Crosswalk'!$E$2:$E$500,MATCH($A222,'Ref_Crosswalk'!$A$2:$A$500,0)),""))</f>
        <v/>
      </c>
      <c r="X222" s="25">
        <f>IF($A222="","",IFERROR(INDEX('Ref_Crosswalk'!$C$2:$C$500,MATCH($A222,'Ref_Crosswalk'!$A$2:$A$500,0)),""))</f>
        <v/>
      </c>
      <c r="Y222" s="25">
        <f>IF($A222="",0,IF(AND(OR('Out_Dashboard'!$C$5="",$W222='Out_Dashboard'!$C$5),OR('Out_Dashboard'!$C$6="",$X222='Out_Dashboard'!$C$6),OR('Out_Dashboard'!$C$7="",$B222='Out_Dashboard'!$C$7)),1,0))</f>
        <v/>
      </c>
      <c r="Z222" s="25">
        <f>IF(AND($A222&lt;&gt;"",$S222&lt;&gt;"",$Y222=1),SUMPRODUCT(($A$8:$A222&lt;&gt;"")*($S$8:$S222&lt;&gt;"")*($Y$8:$Y222=1)),"")</f>
        <v/>
      </c>
      <c r="AA222" s="25">
        <f>IF(AND($A222&lt;&gt;"",$T222&lt;&gt;"",$Y222=1),SUMPRODUCT(($A$8:$A222&lt;&gt;"")*($T$8:$T222&lt;&gt;"")*($Y$8:$Y222=1)),"")</f>
        <v/>
      </c>
    </row>
    <row r="223">
      <c r="A223" s="13" t="n"/>
      <c r="B223" s="13" t="n"/>
      <c r="C223" s="26" t="n"/>
      <c r="D223" s="26" t="n"/>
      <c r="E223" s="26" t="n"/>
      <c r="F223" s="13" t="n"/>
      <c r="G223" s="13" t="n"/>
      <c r="H223" s="13" t="n"/>
      <c r="I223" s="13" t="n"/>
      <c r="J223" s="23">
        <f>IF($A223="","",IFERROR(INDEX('Ref_Crosswalk'!$F$2:$F$500,MATCH($A223,'Ref_Crosswalk'!$A$2:$A$500,0)),"UNKNOWN"))</f>
        <v/>
      </c>
      <c r="K223" s="24">
        <f>IF($A223="","",IFERROR(INDEX('Ref_Tolerance'!$B$2:$B$9,MATCH($J223,'Ref_Tolerance'!$A$2:$A$9,0)),""))</f>
        <v/>
      </c>
      <c r="L223" s="23">
        <f>IF($A223="","",IFERROR(INDEX('Ref_Tolerance'!$D$2:$D$9,MATCH($J223,'Ref_Tolerance'!$A$2:$A$9,0)),""))</f>
        <v/>
      </c>
      <c r="M223" s="24">
        <f>IF($A223="","",IFERROR(ABS(N($D223))/N($C223),0))</f>
        <v/>
      </c>
      <c r="N223" s="24">
        <f>IF($A223="","",IFERROR(N($E223)/N($C223),0))</f>
        <v/>
      </c>
      <c r="O223" s="23">
        <f>IF($A223="",0,IFERROR(SUMPRODUCT(($A$8:$A$307=$A223)*($P$8:$P$307="FAIL")*($U$8:$U$307&gt;$V223)*($U$8:$U$307&lt;=$U223)),0))</f>
        <v/>
      </c>
      <c r="P223" s="23">
        <f>IF($A223="","",IFERROR(IF(NOT(ISNUMBER($K223)),"CHECK",IF($L223="MARGIN",IF($N223&lt;=$K223,"PASS","FAIL"),IF($M223&lt;=$K223,"PASS","FAIL"))),"CHECK"))</f>
        <v/>
      </c>
      <c r="Q223" s="23">
        <f>IF($A223="","",IFERROR(INDEX('Ref_Tolerance'!$E$2:$E$9,MATCH($J223,'Ref_Tolerance'!$A$2:$A$9,0)),""))</f>
        <v/>
      </c>
      <c r="R223" s="23">
        <f>IF($A223="","",IFERROR(IF($O223=0,"CLEAR",IF($O223=1,"MFR DUE - MANAGER",IF($O223=2,"MFR DUE - FSS/CC SIGNATURE REQUIRED","INVESTIGATION + REPORT OF SURVEY; MSG/CC NOTIFIED"))),""))</f>
        <v/>
      </c>
      <c r="S223" s="23">
        <f>IF($A223="","",IF($O223=2,"WATCH - ONE MORE MISS TRIGGERS INVESTIGATION",""))</f>
        <v/>
      </c>
      <c r="T223" s="23">
        <f>IF($A223="","",IFERROR(IF(AND($O223&gt;=1,$F223&lt;&gt;"Y"),"MFR NOT SUBMITTED",IF(AND($O223&gt;=2,$G223&lt;&gt;"Y"),"FSS/CC SIGNATURE MISSING",IF(AND($O223&gt;=3,$H223&lt;&gt;"Y"),"INVESTIGATION NOT OPENED",""))),""))</f>
        <v/>
      </c>
      <c r="U223" s="25">
        <f>IF($A223="",0,IFERROR(MATCH($B223,'Ref_Calendar'!$A$2:$A$500,0),0))</f>
        <v/>
      </c>
      <c r="V223" s="25">
        <f>IF($A223="",0,IFERROR(SUMPRODUCT(MAX(($A$8:$A$307=$A223)*($P$8:$P$307="PASS")*($U$8:$U$307&lt;=$U223)*$U$8:$U$307)),0))</f>
        <v/>
      </c>
      <c r="W223" s="25">
        <f>IF($A223="","",IFERROR(INDEX('Ref_Crosswalk'!$E$2:$E$500,MATCH($A223,'Ref_Crosswalk'!$A$2:$A$500,0)),""))</f>
        <v/>
      </c>
      <c r="X223" s="25">
        <f>IF($A223="","",IFERROR(INDEX('Ref_Crosswalk'!$C$2:$C$500,MATCH($A223,'Ref_Crosswalk'!$A$2:$A$500,0)),""))</f>
        <v/>
      </c>
      <c r="Y223" s="25">
        <f>IF($A223="",0,IF(AND(OR('Out_Dashboard'!$C$5="",$W223='Out_Dashboard'!$C$5),OR('Out_Dashboard'!$C$6="",$X223='Out_Dashboard'!$C$6),OR('Out_Dashboard'!$C$7="",$B223='Out_Dashboard'!$C$7)),1,0))</f>
        <v/>
      </c>
      <c r="Z223" s="25">
        <f>IF(AND($A223&lt;&gt;"",$S223&lt;&gt;"",$Y223=1),SUMPRODUCT(($A$8:$A223&lt;&gt;"")*($S$8:$S223&lt;&gt;"")*($Y$8:$Y223=1)),"")</f>
        <v/>
      </c>
      <c r="AA223" s="25">
        <f>IF(AND($A223&lt;&gt;"",$T223&lt;&gt;"",$Y223=1),SUMPRODUCT(($A$8:$A223&lt;&gt;"")*($T$8:$T223&lt;&gt;"")*($Y$8:$Y223=1)),"")</f>
        <v/>
      </c>
    </row>
    <row r="224">
      <c r="A224" s="13" t="n"/>
      <c r="B224" s="13" t="n"/>
      <c r="C224" s="26" t="n"/>
      <c r="D224" s="26" t="n"/>
      <c r="E224" s="26" t="n"/>
      <c r="F224" s="13" t="n"/>
      <c r="G224" s="13" t="n"/>
      <c r="H224" s="13" t="n"/>
      <c r="I224" s="13" t="n"/>
      <c r="J224" s="23">
        <f>IF($A224="","",IFERROR(INDEX('Ref_Crosswalk'!$F$2:$F$500,MATCH($A224,'Ref_Crosswalk'!$A$2:$A$500,0)),"UNKNOWN"))</f>
        <v/>
      </c>
      <c r="K224" s="24">
        <f>IF($A224="","",IFERROR(INDEX('Ref_Tolerance'!$B$2:$B$9,MATCH($J224,'Ref_Tolerance'!$A$2:$A$9,0)),""))</f>
        <v/>
      </c>
      <c r="L224" s="23">
        <f>IF($A224="","",IFERROR(INDEX('Ref_Tolerance'!$D$2:$D$9,MATCH($J224,'Ref_Tolerance'!$A$2:$A$9,0)),""))</f>
        <v/>
      </c>
      <c r="M224" s="24">
        <f>IF($A224="","",IFERROR(ABS(N($D224))/N($C224),0))</f>
        <v/>
      </c>
      <c r="N224" s="24">
        <f>IF($A224="","",IFERROR(N($E224)/N($C224),0))</f>
        <v/>
      </c>
      <c r="O224" s="23">
        <f>IF($A224="",0,IFERROR(SUMPRODUCT(($A$8:$A$307=$A224)*($P$8:$P$307="FAIL")*($U$8:$U$307&gt;$V224)*($U$8:$U$307&lt;=$U224)),0))</f>
        <v/>
      </c>
      <c r="P224" s="23">
        <f>IF($A224="","",IFERROR(IF(NOT(ISNUMBER($K224)),"CHECK",IF($L224="MARGIN",IF($N224&lt;=$K224,"PASS","FAIL"),IF($M224&lt;=$K224,"PASS","FAIL"))),"CHECK"))</f>
        <v/>
      </c>
      <c r="Q224" s="23">
        <f>IF($A224="","",IFERROR(INDEX('Ref_Tolerance'!$E$2:$E$9,MATCH($J224,'Ref_Tolerance'!$A$2:$A$9,0)),""))</f>
        <v/>
      </c>
      <c r="R224" s="23">
        <f>IF($A224="","",IFERROR(IF($O224=0,"CLEAR",IF($O224=1,"MFR DUE - MANAGER",IF($O224=2,"MFR DUE - FSS/CC SIGNATURE REQUIRED","INVESTIGATION + REPORT OF SURVEY; MSG/CC NOTIFIED"))),""))</f>
        <v/>
      </c>
      <c r="S224" s="23">
        <f>IF($A224="","",IF($O224=2,"WATCH - ONE MORE MISS TRIGGERS INVESTIGATION",""))</f>
        <v/>
      </c>
      <c r="T224" s="23">
        <f>IF($A224="","",IFERROR(IF(AND($O224&gt;=1,$F224&lt;&gt;"Y"),"MFR NOT SUBMITTED",IF(AND($O224&gt;=2,$G224&lt;&gt;"Y"),"FSS/CC SIGNATURE MISSING",IF(AND($O224&gt;=3,$H224&lt;&gt;"Y"),"INVESTIGATION NOT OPENED",""))),""))</f>
        <v/>
      </c>
      <c r="U224" s="25">
        <f>IF($A224="",0,IFERROR(MATCH($B224,'Ref_Calendar'!$A$2:$A$500,0),0))</f>
        <v/>
      </c>
      <c r="V224" s="25">
        <f>IF($A224="",0,IFERROR(SUMPRODUCT(MAX(($A$8:$A$307=$A224)*($P$8:$P$307="PASS")*($U$8:$U$307&lt;=$U224)*$U$8:$U$307)),0))</f>
        <v/>
      </c>
      <c r="W224" s="25">
        <f>IF($A224="","",IFERROR(INDEX('Ref_Crosswalk'!$E$2:$E$500,MATCH($A224,'Ref_Crosswalk'!$A$2:$A$500,0)),""))</f>
        <v/>
      </c>
      <c r="X224" s="25">
        <f>IF($A224="","",IFERROR(INDEX('Ref_Crosswalk'!$C$2:$C$500,MATCH($A224,'Ref_Crosswalk'!$A$2:$A$500,0)),""))</f>
        <v/>
      </c>
      <c r="Y224" s="25">
        <f>IF($A224="",0,IF(AND(OR('Out_Dashboard'!$C$5="",$W224='Out_Dashboard'!$C$5),OR('Out_Dashboard'!$C$6="",$X224='Out_Dashboard'!$C$6),OR('Out_Dashboard'!$C$7="",$B224='Out_Dashboard'!$C$7)),1,0))</f>
        <v/>
      </c>
      <c r="Z224" s="25">
        <f>IF(AND($A224&lt;&gt;"",$S224&lt;&gt;"",$Y224=1),SUMPRODUCT(($A$8:$A224&lt;&gt;"")*($S$8:$S224&lt;&gt;"")*($Y$8:$Y224=1)),"")</f>
        <v/>
      </c>
      <c r="AA224" s="25">
        <f>IF(AND($A224&lt;&gt;"",$T224&lt;&gt;"",$Y224=1),SUMPRODUCT(($A$8:$A224&lt;&gt;"")*($T$8:$T224&lt;&gt;"")*($Y$8:$Y224=1)),"")</f>
        <v/>
      </c>
    </row>
    <row r="225">
      <c r="A225" s="13" t="n"/>
      <c r="B225" s="13" t="n"/>
      <c r="C225" s="26" t="n"/>
      <c r="D225" s="26" t="n"/>
      <c r="E225" s="26" t="n"/>
      <c r="F225" s="13" t="n"/>
      <c r="G225" s="13" t="n"/>
      <c r="H225" s="13" t="n"/>
      <c r="I225" s="13" t="n"/>
      <c r="J225" s="23">
        <f>IF($A225="","",IFERROR(INDEX('Ref_Crosswalk'!$F$2:$F$500,MATCH($A225,'Ref_Crosswalk'!$A$2:$A$500,0)),"UNKNOWN"))</f>
        <v/>
      </c>
      <c r="K225" s="24">
        <f>IF($A225="","",IFERROR(INDEX('Ref_Tolerance'!$B$2:$B$9,MATCH($J225,'Ref_Tolerance'!$A$2:$A$9,0)),""))</f>
        <v/>
      </c>
      <c r="L225" s="23">
        <f>IF($A225="","",IFERROR(INDEX('Ref_Tolerance'!$D$2:$D$9,MATCH($J225,'Ref_Tolerance'!$A$2:$A$9,0)),""))</f>
        <v/>
      </c>
      <c r="M225" s="24">
        <f>IF($A225="","",IFERROR(ABS(N($D225))/N($C225),0))</f>
        <v/>
      </c>
      <c r="N225" s="24">
        <f>IF($A225="","",IFERROR(N($E225)/N($C225),0))</f>
        <v/>
      </c>
      <c r="O225" s="23">
        <f>IF($A225="",0,IFERROR(SUMPRODUCT(($A$8:$A$307=$A225)*($P$8:$P$307="FAIL")*($U$8:$U$307&gt;$V225)*($U$8:$U$307&lt;=$U225)),0))</f>
        <v/>
      </c>
      <c r="P225" s="23">
        <f>IF($A225="","",IFERROR(IF(NOT(ISNUMBER($K225)),"CHECK",IF($L225="MARGIN",IF($N225&lt;=$K225,"PASS","FAIL"),IF($M225&lt;=$K225,"PASS","FAIL"))),"CHECK"))</f>
        <v/>
      </c>
      <c r="Q225" s="23">
        <f>IF($A225="","",IFERROR(INDEX('Ref_Tolerance'!$E$2:$E$9,MATCH($J225,'Ref_Tolerance'!$A$2:$A$9,0)),""))</f>
        <v/>
      </c>
      <c r="R225" s="23">
        <f>IF($A225="","",IFERROR(IF($O225=0,"CLEAR",IF($O225=1,"MFR DUE - MANAGER",IF($O225=2,"MFR DUE - FSS/CC SIGNATURE REQUIRED","INVESTIGATION + REPORT OF SURVEY; MSG/CC NOTIFIED"))),""))</f>
        <v/>
      </c>
      <c r="S225" s="23">
        <f>IF($A225="","",IF($O225=2,"WATCH - ONE MORE MISS TRIGGERS INVESTIGATION",""))</f>
        <v/>
      </c>
      <c r="T225" s="23">
        <f>IF($A225="","",IFERROR(IF(AND($O225&gt;=1,$F225&lt;&gt;"Y"),"MFR NOT SUBMITTED",IF(AND($O225&gt;=2,$G225&lt;&gt;"Y"),"FSS/CC SIGNATURE MISSING",IF(AND($O225&gt;=3,$H225&lt;&gt;"Y"),"INVESTIGATION NOT OPENED",""))),""))</f>
        <v/>
      </c>
      <c r="U225" s="25">
        <f>IF($A225="",0,IFERROR(MATCH($B225,'Ref_Calendar'!$A$2:$A$500,0),0))</f>
        <v/>
      </c>
      <c r="V225" s="25">
        <f>IF($A225="",0,IFERROR(SUMPRODUCT(MAX(($A$8:$A$307=$A225)*($P$8:$P$307="PASS")*($U$8:$U$307&lt;=$U225)*$U$8:$U$307)),0))</f>
        <v/>
      </c>
      <c r="W225" s="25">
        <f>IF($A225="","",IFERROR(INDEX('Ref_Crosswalk'!$E$2:$E$500,MATCH($A225,'Ref_Crosswalk'!$A$2:$A$500,0)),""))</f>
        <v/>
      </c>
      <c r="X225" s="25">
        <f>IF($A225="","",IFERROR(INDEX('Ref_Crosswalk'!$C$2:$C$500,MATCH($A225,'Ref_Crosswalk'!$A$2:$A$500,0)),""))</f>
        <v/>
      </c>
      <c r="Y225" s="25">
        <f>IF($A225="",0,IF(AND(OR('Out_Dashboard'!$C$5="",$W225='Out_Dashboard'!$C$5),OR('Out_Dashboard'!$C$6="",$X225='Out_Dashboard'!$C$6),OR('Out_Dashboard'!$C$7="",$B225='Out_Dashboard'!$C$7)),1,0))</f>
        <v/>
      </c>
      <c r="Z225" s="25">
        <f>IF(AND($A225&lt;&gt;"",$S225&lt;&gt;"",$Y225=1),SUMPRODUCT(($A$8:$A225&lt;&gt;"")*($S$8:$S225&lt;&gt;"")*($Y$8:$Y225=1)),"")</f>
        <v/>
      </c>
      <c r="AA225" s="25">
        <f>IF(AND($A225&lt;&gt;"",$T225&lt;&gt;"",$Y225=1),SUMPRODUCT(($A$8:$A225&lt;&gt;"")*($T$8:$T225&lt;&gt;"")*($Y$8:$Y225=1)),"")</f>
        <v/>
      </c>
    </row>
    <row r="226">
      <c r="A226" s="13" t="n"/>
      <c r="B226" s="13" t="n"/>
      <c r="C226" s="26" t="n"/>
      <c r="D226" s="26" t="n"/>
      <c r="E226" s="26" t="n"/>
      <c r="F226" s="13" t="n"/>
      <c r="G226" s="13" t="n"/>
      <c r="H226" s="13" t="n"/>
      <c r="I226" s="13" t="n"/>
      <c r="J226" s="23">
        <f>IF($A226="","",IFERROR(INDEX('Ref_Crosswalk'!$F$2:$F$500,MATCH($A226,'Ref_Crosswalk'!$A$2:$A$500,0)),"UNKNOWN"))</f>
        <v/>
      </c>
      <c r="K226" s="24">
        <f>IF($A226="","",IFERROR(INDEX('Ref_Tolerance'!$B$2:$B$9,MATCH($J226,'Ref_Tolerance'!$A$2:$A$9,0)),""))</f>
        <v/>
      </c>
      <c r="L226" s="23">
        <f>IF($A226="","",IFERROR(INDEX('Ref_Tolerance'!$D$2:$D$9,MATCH($J226,'Ref_Tolerance'!$A$2:$A$9,0)),""))</f>
        <v/>
      </c>
      <c r="M226" s="24">
        <f>IF($A226="","",IFERROR(ABS(N($D226))/N($C226),0))</f>
        <v/>
      </c>
      <c r="N226" s="24">
        <f>IF($A226="","",IFERROR(N($E226)/N($C226),0))</f>
        <v/>
      </c>
      <c r="O226" s="23">
        <f>IF($A226="",0,IFERROR(SUMPRODUCT(($A$8:$A$307=$A226)*($P$8:$P$307="FAIL")*($U$8:$U$307&gt;$V226)*($U$8:$U$307&lt;=$U226)),0))</f>
        <v/>
      </c>
      <c r="P226" s="23">
        <f>IF($A226="","",IFERROR(IF(NOT(ISNUMBER($K226)),"CHECK",IF($L226="MARGIN",IF($N226&lt;=$K226,"PASS","FAIL"),IF($M226&lt;=$K226,"PASS","FAIL"))),"CHECK"))</f>
        <v/>
      </c>
      <c r="Q226" s="23">
        <f>IF($A226="","",IFERROR(INDEX('Ref_Tolerance'!$E$2:$E$9,MATCH($J226,'Ref_Tolerance'!$A$2:$A$9,0)),""))</f>
        <v/>
      </c>
      <c r="R226" s="23">
        <f>IF($A226="","",IFERROR(IF($O226=0,"CLEAR",IF($O226=1,"MFR DUE - MANAGER",IF($O226=2,"MFR DUE - FSS/CC SIGNATURE REQUIRED","INVESTIGATION + REPORT OF SURVEY; MSG/CC NOTIFIED"))),""))</f>
        <v/>
      </c>
      <c r="S226" s="23">
        <f>IF($A226="","",IF($O226=2,"WATCH - ONE MORE MISS TRIGGERS INVESTIGATION",""))</f>
        <v/>
      </c>
      <c r="T226" s="23">
        <f>IF($A226="","",IFERROR(IF(AND($O226&gt;=1,$F226&lt;&gt;"Y"),"MFR NOT SUBMITTED",IF(AND($O226&gt;=2,$G226&lt;&gt;"Y"),"FSS/CC SIGNATURE MISSING",IF(AND($O226&gt;=3,$H226&lt;&gt;"Y"),"INVESTIGATION NOT OPENED",""))),""))</f>
        <v/>
      </c>
      <c r="U226" s="25">
        <f>IF($A226="",0,IFERROR(MATCH($B226,'Ref_Calendar'!$A$2:$A$500,0),0))</f>
        <v/>
      </c>
      <c r="V226" s="25">
        <f>IF($A226="",0,IFERROR(SUMPRODUCT(MAX(($A$8:$A$307=$A226)*($P$8:$P$307="PASS")*($U$8:$U$307&lt;=$U226)*$U$8:$U$307)),0))</f>
        <v/>
      </c>
      <c r="W226" s="25">
        <f>IF($A226="","",IFERROR(INDEX('Ref_Crosswalk'!$E$2:$E$500,MATCH($A226,'Ref_Crosswalk'!$A$2:$A$500,0)),""))</f>
        <v/>
      </c>
      <c r="X226" s="25">
        <f>IF($A226="","",IFERROR(INDEX('Ref_Crosswalk'!$C$2:$C$500,MATCH($A226,'Ref_Crosswalk'!$A$2:$A$500,0)),""))</f>
        <v/>
      </c>
      <c r="Y226" s="25">
        <f>IF($A226="",0,IF(AND(OR('Out_Dashboard'!$C$5="",$W226='Out_Dashboard'!$C$5),OR('Out_Dashboard'!$C$6="",$X226='Out_Dashboard'!$C$6),OR('Out_Dashboard'!$C$7="",$B226='Out_Dashboard'!$C$7)),1,0))</f>
        <v/>
      </c>
      <c r="Z226" s="25">
        <f>IF(AND($A226&lt;&gt;"",$S226&lt;&gt;"",$Y226=1),SUMPRODUCT(($A$8:$A226&lt;&gt;"")*($S$8:$S226&lt;&gt;"")*($Y$8:$Y226=1)),"")</f>
        <v/>
      </c>
      <c r="AA226" s="25">
        <f>IF(AND($A226&lt;&gt;"",$T226&lt;&gt;"",$Y226=1),SUMPRODUCT(($A$8:$A226&lt;&gt;"")*($T$8:$T226&lt;&gt;"")*($Y$8:$Y226=1)),"")</f>
        <v/>
      </c>
    </row>
    <row r="227">
      <c r="A227" s="13" t="n"/>
      <c r="B227" s="13" t="n"/>
      <c r="C227" s="26" t="n"/>
      <c r="D227" s="26" t="n"/>
      <c r="E227" s="26" t="n"/>
      <c r="F227" s="13" t="n"/>
      <c r="G227" s="13" t="n"/>
      <c r="H227" s="13" t="n"/>
      <c r="I227" s="13" t="n"/>
      <c r="J227" s="23">
        <f>IF($A227="","",IFERROR(INDEX('Ref_Crosswalk'!$F$2:$F$500,MATCH($A227,'Ref_Crosswalk'!$A$2:$A$500,0)),"UNKNOWN"))</f>
        <v/>
      </c>
      <c r="K227" s="24">
        <f>IF($A227="","",IFERROR(INDEX('Ref_Tolerance'!$B$2:$B$9,MATCH($J227,'Ref_Tolerance'!$A$2:$A$9,0)),""))</f>
        <v/>
      </c>
      <c r="L227" s="23">
        <f>IF($A227="","",IFERROR(INDEX('Ref_Tolerance'!$D$2:$D$9,MATCH($J227,'Ref_Tolerance'!$A$2:$A$9,0)),""))</f>
        <v/>
      </c>
      <c r="M227" s="24">
        <f>IF($A227="","",IFERROR(ABS(N($D227))/N($C227),0))</f>
        <v/>
      </c>
      <c r="N227" s="24">
        <f>IF($A227="","",IFERROR(N($E227)/N($C227),0))</f>
        <v/>
      </c>
      <c r="O227" s="23">
        <f>IF($A227="",0,IFERROR(SUMPRODUCT(($A$8:$A$307=$A227)*($P$8:$P$307="FAIL")*($U$8:$U$307&gt;$V227)*($U$8:$U$307&lt;=$U227)),0))</f>
        <v/>
      </c>
      <c r="P227" s="23">
        <f>IF($A227="","",IFERROR(IF(NOT(ISNUMBER($K227)),"CHECK",IF($L227="MARGIN",IF($N227&lt;=$K227,"PASS","FAIL"),IF($M227&lt;=$K227,"PASS","FAIL"))),"CHECK"))</f>
        <v/>
      </c>
      <c r="Q227" s="23">
        <f>IF($A227="","",IFERROR(INDEX('Ref_Tolerance'!$E$2:$E$9,MATCH($J227,'Ref_Tolerance'!$A$2:$A$9,0)),""))</f>
        <v/>
      </c>
      <c r="R227" s="23">
        <f>IF($A227="","",IFERROR(IF($O227=0,"CLEAR",IF($O227=1,"MFR DUE - MANAGER",IF($O227=2,"MFR DUE - FSS/CC SIGNATURE REQUIRED","INVESTIGATION + REPORT OF SURVEY; MSG/CC NOTIFIED"))),""))</f>
        <v/>
      </c>
      <c r="S227" s="23">
        <f>IF($A227="","",IF($O227=2,"WATCH - ONE MORE MISS TRIGGERS INVESTIGATION",""))</f>
        <v/>
      </c>
      <c r="T227" s="23">
        <f>IF($A227="","",IFERROR(IF(AND($O227&gt;=1,$F227&lt;&gt;"Y"),"MFR NOT SUBMITTED",IF(AND($O227&gt;=2,$G227&lt;&gt;"Y"),"FSS/CC SIGNATURE MISSING",IF(AND($O227&gt;=3,$H227&lt;&gt;"Y"),"INVESTIGATION NOT OPENED",""))),""))</f>
        <v/>
      </c>
      <c r="U227" s="25">
        <f>IF($A227="",0,IFERROR(MATCH($B227,'Ref_Calendar'!$A$2:$A$500,0),0))</f>
        <v/>
      </c>
      <c r="V227" s="25">
        <f>IF($A227="",0,IFERROR(SUMPRODUCT(MAX(($A$8:$A$307=$A227)*($P$8:$P$307="PASS")*($U$8:$U$307&lt;=$U227)*$U$8:$U$307)),0))</f>
        <v/>
      </c>
      <c r="W227" s="25">
        <f>IF($A227="","",IFERROR(INDEX('Ref_Crosswalk'!$E$2:$E$500,MATCH($A227,'Ref_Crosswalk'!$A$2:$A$500,0)),""))</f>
        <v/>
      </c>
      <c r="X227" s="25">
        <f>IF($A227="","",IFERROR(INDEX('Ref_Crosswalk'!$C$2:$C$500,MATCH($A227,'Ref_Crosswalk'!$A$2:$A$500,0)),""))</f>
        <v/>
      </c>
      <c r="Y227" s="25">
        <f>IF($A227="",0,IF(AND(OR('Out_Dashboard'!$C$5="",$W227='Out_Dashboard'!$C$5),OR('Out_Dashboard'!$C$6="",$X227='Out_Dashboard'!$C$6),OR('Out_Dashboard'!$C$7="",$B227='Out_Dashboard'!$C$7)),1,0))</f>
        <v/>
      </c>
      <c r="Z227" s="25">
        <f>IF(AND($A227&lt;&gt;"",$S227&lt;&gt;"",$Y227=1),SUMPRODUCT(($A$8:$A227&lt;&gt;"")*($S$8:$S227&lt;&gt;"")*($Y$8:$Y227=1)),"")</f>
        <v/>
      </c>
      <c r="AA227" s="25">
        <f>IF(AND($A227&lt;&gt;"",$T227&lt;&gt;"",$Y227=1),SUMPRODUCT(($A$8:$A227&lt;&gt;"")*($T$8:$T227&lt;&gt;"")*($Y$8:$Y227=1)),"")</f>
        <v/>
      </c>
    </row>
    <row r="228">
      <c r="A228" s="13" t="n"/>
      <c r="B228" s="13" t="n"/>
      <c r="C228" s="26" t="n"/>
      <c r="D228" s="26" t="n"/>
      <c r="E228" s="26" t="n"/>
      <c r="F228" s="13" t="n"/>
      <c r="G228" s="13" t="n"/>
      <c r="H228" s="13" t="n"/>
      <c r="I228" s="13" t="n"/>
      <c r="J228" s="23">
        <f>IF($A228="","",IFERROR(INDEX('Ref_Crosswalk'!$F$2:$F$500,MATCH($A228,'Ref_Crosswalk'!$A$2:$A$500,0)),"UNKNOWN"))</f>
        <v/>
      </c>
      <c r="K228" s="24">
        <f>IF($A228="","",IFERROR(INDEX('Ref_Tolerance'!$B$2:$B$9,MATCH($J228,'Ref_Tolerance'!$A$2:$A$9,0)),""))</f>
        <v/>
      </c>
      <c r="L228" s="23">
        <f>IF($A228="","",IFERROR(INDEX('Ref_Tolerance'!$D$2:$D$9,MATCH($J228,'Ref_Tolerance'!$A$2:$A$9,0)),""))</f>
        <v/>
      </c>
      <c r="M228" s="24">
        <f>IF($A228="","",IFERROR(ABS(N($D228))/N($C228),0))</f>
        <v/>
      </c>
      <c r="N228" s="24">
        <f>IF($A228="","",IFERROR(N($E228)/N($C228),0))</f>
        <v/>
      </c>
      <c r="O228" s="23">
        <f>IF($A228="",0,IFERROR(SUMPRODUCT(($A$8:$A$307=$A228)*($P$8:$P$307="FAIL")*($U$8:$U$307&gt;$V228)*($U$8:$U$307&lt;=$U228)),0))</f>
        <v/>
      </c>
      <c r="P228" s="23">
        <f>IF($A228="","",IFERROR(IF(NOT(ISNUMBER($K228)),"CHECK",IF($L228="MARGIN",IF($N228&lt;=$K228,"PASS","FAIL"),IF($M228&lt;=$K228,"PASS","FAIL"))),"CHECK"))</f>
        <v/>
      </c>
      <c r="Q228" s="23">
        <f>IF($A228="","",IFERROR(INDEX('Ref_Tolerance'!$E$2:$E$9,MATCH($J228,'Ref_Tolerance'!$A$2:$A$9,0)),""))</f>
        <v/>
      </c>
      <c r="R228" s="23">
        <f>IF($A228="","",IFERROR(IF($O228=0,"CLEAR",IF($O228=1,"MFR DUE - MANAGER",IF($O228=2,"MFR DUE - FSS/CC SIGNATURE REQUIRED","INVESTIGATION + REPORT OF SURVEY; MSG/CC NOTIFIED"))),""))</f>
        <v/>
      </c>
      <c r="S228" s="23">
        <f>IF($A228="","",IF($O228=2,"WATCH - ONE MORE MISS TRIGGERS INVESTIGATION",""))</f>
        <v/>
      </c>
      <c r="T228" s="23">
        <f>IF($A228="","",IFERROR(IF(AND($O228&gt;=1,$F228&lt;&gt;"Y"),"MFR NOT SUBMITTED",IF(AND($O228&gt;=2,$G228&lt;&gt;"Y"),"FSS/CC SIGNATURE MISSING",IF(AND($O228&gt;=3,$H228&lt;&gt;"Y"),"INVESTIGATION NOT OPENED",""))),""))</f>
        <v/>
      </c>
      <c r="U228" s="25">
        <f>IF($A228="",0,IFERROR(MATCH($B228,'Ref_Calendar'!$A$2:$A$500,0),0))</f>
        <v/>
      </c>
      <c r="V228" s="25">
        <f>IF($A228="",0,IFERROR(SUMPRODUCT(MAX(($A$8:$A$307=$A228)*($P$8:$P$307="PASS")*($U$8:$U$307&lt;=$U228)*$U$8:$U$307)),0))</f>
        <v/>
      </c>
      <c r="W228" s="25">
        <f>IF($A228="","",IFERROR(INDEX('Ref_Crosswalk'!$E$2:$E$500,MATCH($A228,'Ref_Crosswalk'!$A$2:$A$500,0)),""))</f>
        <v/>
      </c>
      <c r="X228" s="25">
        <f>IF($A228="","",IFERROR(INDEX('Ref_Crosswalk'!$C$2:$C$500,MATCH($A228,'Ref_Crosswalk'!$A$2:$A$500,0)),""))</f>
        <v/>
      </c>
      <c r="Y228" s="25">
        <f>IF($A228="",0,IF(AND(OR('Out_Dashboard'!$C$5="",$W228='Out_Dashboard'!$C$5),OR('Out_Dashboard'!$C$6="",$X228='Out_Dashboard'!$C$6),OR('Out_Dashboard'!$C$7="",$B228='Out_Dashboard'!$C$7)),1,0))</f>
        <v/>
      </c>
      <c r="Z228" s="25">
        <f>IF(AND($A228&lt;&gt;"",$S228&lt;&gt;"",$Y228=1),SUMPRODUCT(($A$8:$A228&lt;&gt;"")*($S$8:$S228&lt;&gt;"")*($Y$8:$Y228=1)),"")</f>
        <v/>
      </c>
      <c r="AA228" s="25">
        <f>IF(AND($A228&lt;&gt;"",$T228&lt;&gt;"",$Y228=1),SUMPRODUCT(($A$8:$A228&lt;&gt;"")*($T$8:$T228&lt;&gt;"")*($Y$8:$Y228=1)),"")</f>
        <v/>
      </c>
    </row>
    <row r="229">
      <c r="A229" s="13" t="n"/>
      <c r="B229" s="13" t="n"/>
      <c r="C229" s="26" t="n"/>
      <c r="D229" s="26" t="n"/>
      <c r="E229" s="26" t="n"/>
      <c r="F229" s="13" t="n"/>
      <c r="G229" s="13" t="n"/>
      <c r="H229" s="13" t="n"/>
      <c r="I229" s="13" t="n"/>
      <c r="J229" s="23">
        <f>IF($A229="","",IFERROR(INDEX('Ref_Crosswalk'!$F$2:$F$500,MATCH($A229,'Ref_Crosswalk'!$A$2:$A$500,0)),"UNKNOWN"))</f>
        <v/>
      </c>
      <c r="K229" s="24">
        <f>IF($A229="","",IFERROR(INDEX('Ref_Tolerance'!$B$2:$B$9,MATCH($J229,'Ref_Tolerance'!$A$2:$A$9,0)),""))</f>
        <v/>
      </c>
      <c r="L229" s="23">
        <f>IF($A229="","",IFERROR(INDEX('Ref_Tolerance'!$D$2:$D$9,MATCH($J229,'Ref_Tolerance'!$A$2:$A$9,0)),""))</f>
        <v/>
      </c>
      <c r="M229" s="24">
        <f>IF($A229="","",IFERROR(ABS(N($D229))/N($C229),0))</f>
        <v/>
      </c>
      <c r="N229" s="24">
        <f>IF($A229="","",IFERROR(N($E229)/N($C229),0))</f>
        <v/>
      </c>
      <c r="O229" s="23">
        <f>IF($A229="",0,IFERROR(SUMPRODUCT(($A$8:$A$307=$A229)*($P$8:$P$307="FAIL")*($U$8:$U$307&gt;$V229)*($U$8:$U$307&lt;=$U229)),0))</f>
        <v/>
      </c>
      <c r="P229" s="23">
        <f>IF($A229="","",IFERROR(IF(NOT(ISNUMBER($K229)),"CHECK",IF($L229="MARGIN",IF($N229&lt;=$K229,"PASS","FAIL"),IF($M229&lt;=$K229,"PASS","FAIL"))),"CHECK"))</f>
        <v/>
      </c>
      <c r="Q229" s="23">
        <f>IF($A229="","",IFERROR(INDEX('Ref_Tolerance'!$E$2:$E$9,MATCH($J229,'Ref_Tolerance'!$A$2:$A$9,0)),""))</f>
        <v/>
      </c>
      <c r="R229" s="23">
        <f>IF($A229="","",IFERROR(IF($O229=0,"CLEAR",IF($O229=1,"MFR DUE - MANAGER",IF($O229=2,"MFR DUE - FSS/CC SIGNATURE REQUIRED","INVESTIGATION + REPORT OF SURVEY; MSG/CC NOTIFIED"))),""))</f>
        <v/>
      </c>
      <c r="S229" s="23">
        <f>IF($A229="","",IF($O229=2,"WATCH - ONE MORE MISS TRIGGERS INVESTIGATION",""))</f>
        <v/>
      </c>
      <c r="T229" s="23">
        <f>IF($A229="","",IFERROR(IF(AND($O229&gt;=1,$F229&lt;&gt;"Y"),"MFR NOT SUBMITTED",IF(AND($O229&gt;=2,$G229&lt;&gt;"Y"),"FSS/CC SIGNATURE MISSING",IF(AND($O229&gt;=3,$H229&lt;&gt;"Y"),"INVESTIGATION NOT OPENED",""))),""))</f>
        <v/>
      </c>
      <c r="U229" s="25">
        <f>IF($A229="",0,IFERROR(MATCH($B229,'Ref_Calendar'!$A$2:$A$500,0),0))</f>
        <v/>
      </c>
      <c r="V229" s="25">
        <f>IF($A229="",0,IFERROR(SUMPRODUCT(MAX(($A$8:$A$307=$A229)*($P$8:$P$307="PASS")*($U$8:$U$307&lt;=$U229)*$U$8:$U$307)),0))</f>
        <v/>
      </c>
      <c r="W229" s="25">
        <f>IF($A229="","",IFERROR(INDEX('Ref_Crosswalk'!$E$2:$E$500,MATCH($A229,'Ref_Crosswalk'!$A$2:$A$500,0)),""))</f>
        <v/>
      </c>
      <c r="X229" s="25">
        <f>IF($A229="","",IFERROR(INDEX('Ref_Crosswalk'!$C$2:$C$500,MATCH($A229,'Ref_Crosswalk'!$A$2:$A$500,0)),""))</f>
        <v/>
      </c>
      <c r="Y229" s="25">
        <f>IF($A229="",0,IF(AND(OR('Out_Dashboard'!$C$5="",$W229='Out_Dashboard'!$C$5),OR('Out_Dashboard'!$C$6="",$X229='Out_Dashboard'!$C$6),OR('Out_Dashboard'!$C$7="",$B229='Out_Dashboard'!$C$7)),1,0))</f>
        <v/>
      </c>
      <c r="Z229" s="25">
        <f>IF(AND($A229&lt;&gt;"",$S229&lt;&gt;"",$Y229=1),SUMPRODUCT(($A$8:$A229&lt;&gt;"")*($S$8:$S229&lt;&gt;"")*($Y$8:$Y229=1)),"")</f>
        <v/>
      </c>
      <c r="AA229" s="25">
        <f>IF(AND($A229&lt;&gt;"",$T229&lt;&gt;"",$Y229=1),SUMPRODUCT(($A$8:$A229&lt;&gt;"")*($T$8:$T229&lt;&gt;"")*($Y$8:$Y229=1)),"")</f>
        <v/>
      </c>
    </row>
    <row r="230">
      <c r="A230" s="13" t="n"/>
      <c r="B230" s="13" t="n"/>
      <c r="C230" s="26" t="n"/>
      <c r="D230" s="26" t="n"/>
      <c r="E230" s="26" t="n"/>
      <c r="F230" s="13" t="n"/>
      <c r="G230" s="13" t="n"/>
      <c r="H230" s="13" t="n"/>
      <c r="I230" s="13" t="n"/>
      <c r="J230" s="23">
        <f>IF($A230="","",IFERROR(INDEX('Ref_Crosswalk'!$F$2:$F$500,MATCH($A230,'Ref_Crosswalk'!$A$2:$A$500,0)),"UNKNOWN"))</f>
        <v/>
      </c>
      <c r="K230" s="24">
        <f>IF($A230="","",IFERROR(INDEX('Ref_Tolerance'!$B$2:$B$9,MATCH($J230,'Ref_Tolerance'!$A$2:$A$9,0)),""))</f>
        <v/>
      </c>
      <c r="L230" s="23">
        <f>IF($A230="","",IFERROR(INDEX('Ref_Tolerance'!$D$2:$D$9,MATCH($J230,'Ref_Tolerance'!$A$2:$A$9,0)),""))</f>
        <v/>
      </c>
      <c r="M230" s="24">
        <f>IF($A230="","",IFERROR(ABS(N($D230))/N($C230),0))</f>
        <v/>
      </c>
      <c r="N230" s="24">
        <f>IF($A230="","",IFERROR(N($E230)/N($C230),0))</f>
        <v/>
      </c>
      <c r="O230" s="23">
        <f>IF($A230="",0,IFERROR(SUMPRODUCT(($A$8:$A$307=$A230)*($P$8:$P$307="FAIL")*($U$8:$U$307&gt;$V230)*($U$8:$U$307&lt;=$U230)),0))</f>
        <v/>
      </c>
      <c r="P230" s="23">
        <f>IF($A230="","",IFERROR(IF(NOT(ISNUMBER($K230)),"CHECK",IF($L230="MARGIN",IF($N230&lt;=$K230,"PASS","FAIL"),IF($M230&lt;=$K230,"PASS","FAIL"))),"CHECK"))</f>
        <v/>
      </c>
      <c r="Q230" s="23">
        <f>IF($A230="","",IFERROR(INDEX('Ref_Tolerance'!$E$2:$E$9,MATCH($J230,'Ref_Tolerance'!$A$2:$A$9,0)),""))</f>
        <v/>
      </c>
      <c r="R230" s="23">
        <f>IF($A230="","",IFERROR(IF($O230=0,"CLEAR",IF($O230=1,"MFR DUE - MANAGER",IF($O230=2,"MFR DUE - FSS/CC SIGNATURE REQUIRED","INVESTIGATION + REPORT OF SURVEY; MSG/CC NOTIFIED"))),""))</f>
        <v/>
      </c>
      <c r="S230" s="23">
        <f>IF($A230="","",IF($O230=2,"WATCH - ONE MORE MISS TRIGGERS INVESTIGATION",""))</f>
        <v/>
      </c>
      <c r="T230" s="23">
        <f>IF($A230="","",IFERROR(IF(AND($O230&gt;=1,$F230&lt;&gt;"Y"),"MFR NOT SUBMITTED",IF(AND($O230&gt;=2,$G230&lt;&gt;"Y"),"FSS/CC SIGNATURE MISSING",IF(AND($O230&gt;=3,$H230&lt;&gt;"Y"),"INVESTIGATION NOT OPENED",""))),""))</f>
        <v/>
      </c>
      <c r="U230" s="25">
        <f>IF($A230="",0,IFERROR(MATCH($B230,'Ref_Calendar'!$A$2:$A$500,0),0))</f>
        <v/>
      </c>
      <c r="V230" s="25">
        <f>IF($A230="",0,IFERROR(SUMPRODUCT(MAX(($A$8:$A$307=$A230)*($P$8:$P$307="PASS")*($U$8:$U$307&lt;=$U230)*$U$8:$U$307)),0))</f>
        <v/>
      </c>
      <c r="W230" s="25">
        <f>IF($A230="","",IFERROR(INDEX('Ref_Crosswalk'!$E$2:$E$500,MATCH($A230,'Ref_Crosswalk'!$A$2:$A$500,0)),""))</f>
        <v/>
      </c>
      <c r="X230" s="25">
        <f>IF($A230="","",IFERROR(INDEX('Ref_Crosswalk'!$C$2:$C$500,MATCH($A230,'Ref_Crosswalk'!$A$2:$A$500,0)),""))</f>
        <v/>
      </c>
      <c r="Y230" s="25">
        <f>IF($A230="",0,IF(AND(OR('Out_Dashboard'!$C$5="",$W230='Out_Dashboard'!$C$5),OR('Out_Dashboard'!$C$6="",$X230='Out_Dashboard'!$C$6),OR('Out_Dashboard'!$C$7="",$B230='Out_Dashboard'!$C$7)),1,0))</f>
        <v/>
      </c>
      <c r="Z230" s="25">
        <f>IF(AND($A230&lt;&gt;"",$S230&lt;&gt;"",$Y230=1),SUMPRODUCT(($A$8:$A230&lt;&gt;"")*($S$8:$S230&lt;&gt;"")*($Y$8:$Y230=1)),"")</f>
        <v/>
      </c>
      <c r="AA230" s="25">
        <f>IF(AND($A230&lt;&gt;"",$T230&lt;&gt;"",$Y230=1),SUMPRODUCT(($A$8:$A230&lt;&gt;"")*($T$8:$T230&lt;&gt;"")*($Y$8:$Y230=1)),"")</f>
        <v/>
      </c>
    </row>
    <row r="231">
      <c r="A231" s="13" t="n"/>
      <c r="B231" s="13" t="n"/>
      <c r="C231" s="26" t="n"/>
      <c r="D231" s="26" t="n"/>
      <c r="E231" s="26" t="n"/>
      <c r="F231" s="13" t="n"/>
      <c r="G231" s="13" t="n"/>
      <c r="H231" s="13" t="n"/>
      <c r="I231" s="13" t="n"/>
      <c r="J231" s="23">
        <f>IF($A231="","",IFERROR(INDEX('Ref_Crosswalk'!$F$2:$F$500,MATCH($A231,'Ref_Crosswalk'!$A$2:$A$500,0)),"UNKNOWN"))</f>
        <v/>
      </c>
      <c r="K231" s="24">
        <f>IF($A231="","",IFERROR(INDEX('Ref_Tolerance'!$B$2:$B$9,MATCH($J231,'Ref_Tolerance'!$A$2:$A$9,0)),""))</f>
        <v/>
      </c>
      <c r="L231" s="23">
        <f>IF($A231="","",IFERROR(INDEX('Ref_Tolerance'!$D$2:$D$9,MATCH($J231,'Ref_Tolerance'!$A$2:$A$9,0)),""))</f>
        <v/>
      </c>
      <c r="M231" s="24">
        <f>IF($A231="","",IFERROR(ABS(N($D231))/N($C231),0))</f>
        <v/>
      </c>
      <c r="N231" s="24">
        <f>IF($A231="","",IFERROR(N($E231)/N($C231),0))</f>
        <v/>
      </c>
      <c r="O231" s="23">
        <f>IF($A231="",0,IFERROR(SUMPRODUCT(($A$8:$A$307=$A231)*($P$8:$P$307="FAIL")*($U$8:$U$307&gt;$V231)*($U$8:$U$307&lt;=$U231)),0))</f>
        <v/>
      </c>
      <c r="P231" s="23">
        <f>IF($A231="","",IFERROR(IF(NOT(ISNUMBER($K231)),"CHECK",IF($L231="MARGIN",IF($N231&lt;=$K231,"PASS","FAIL"),IF($M231&lt;=$K231,"PASS","FAIL"))),"CHECK"))</f>
        <v/>
      </c>
      <c r="Q231" s="23">
        <f>IF($A231="","",IFERROR(INDEX('Ref_Tolerance'!$E$2:$E$9,MATCH($J231,'Ref_Tolerance'!$A$2:$A$9,0)),""))</f>
        <v/>
      </c>
      <c r="R231" s="23">
        <f>IF($A231="","",IFERROR(IF($O231=0,"CLEAR",IF($O231=1,"MFR DUE - MANAGER",IF($O231=2,"MFR DUE - FSS/CC SIGNATURE REQUIRED","INVESTIGATION + REPORT OF SURVEY; MSG/CC NOTIFIED"))),""))</f>
        <v/>
      </c>
      <c r="S231" s="23">
        <f>IF($A231="","",IF($O231=2,"WATCH - ONE MORE MISS TRIGGERS INVESTIGATION",""))</f>
        <v/>
      </c>
      <c r="T231" s="23">
        <f>IF($A231="","",IFERROR(IF(AND($O231&gt;=1,$F231&lt;&gt;"Y"),"MFR NOT SUBMITTED",IF(AND($O231&gt;=2,$G231&lt;&gt;"Y"),"FSS/CC SIGNATURE MISSING",IF(AND($O231&gt;=3,$H231&lt;&gt;"Y"),"INVESTIGATION NOT OPENED",""))),""))</f>
        <v/>
      </c>
      <c r="U231" s="25">
        <f>IF($A231="",0,IFERROR(MATCH($B231,'Ref_Calendar'!$A$2:$A$500,0),0))</f>
        <v/>
      </c>
      <c r="V231" s="25">
        <f>IF($A231="",0,IFERROR(SUMPRODUCT(MAX(($A$8:$A$307=$A231)*($P$8:$P$307="PASS")*($U$8:$U$307&lt;=$U231)*$U$8:$U$307)),0))</f>
        <v/>
      </c>
      <c r="W231" s="25">
        <f>IF($A231="","",IFERROR(INDEX('Ref_Crosswalk'!$E$2:$E$500,MATCH($A231,'Ref_Crosswalk'!$A$2:$A$500,0)),""))</f>
        <v/>
      </c>
      <c r="X231" s="25">
        <f>IF($A231="","",IFERROR(INDEX('Ref_Crosswalk'!$C$2:$C$500,MATCH($A231,'Ref_Crosswalk'!$A$2:$A$500,0)),""))</f>
        <v/>
      </c>
      <c r="Y231" s="25">
        <f>IF($A231="",0,IF(AND(OR('Out_Dashboard'!$C$5="",$W231='Out_Dashboard'!$C$5),OR('Out_Dashboard'!$C$6="",$X231='Out_Dashboard'!$C$6),OR('Out_Dashboard'!$C$7="",$B231='Out_Dashboard'!$C$7)),1,0))</f>
        <v/>
      </c>
      <c r="Z231" s="25">
        <f>IF(AND($A231&lt;&gt;"",$S231&lt;&gt;"",$Y231=1),SUMPRODUCT(($A$8:$A231&lt;&gt;"")*($S$8:$S231&lt;&gt;"")*($Y$8:$Y231=1)),"")</f>
        <v/>
      </c>
      <c r="AA231" s="25">
        <f>IF(AND($A231&lt;&gt;"",$T231&lt;&gt;"",$Y231=1),SUMPRODUCT(($A$8:$A231&lt;&gt;"")*($T$8:$T231&lt;&gt;"")*($Y$8:$Y231=1)),"")</f>
        <v/>
      </c>
    </row>
    <row r="232">
      <c r="A232" s="13" t="n"/>
      <c r="B232" s="13" t="n"/>
      <c r="C232" s="26" t="n"/>
      <c r="D232" s="26" t="n"/>
      <c r="E232" s="26" t="n"/>
      <c r="F232" s="13" t="n"/>
      <c r="G232" s="13" t="n"/>
      <c r="H232" s="13" t="n"/>
      <c r="I232" s="13" t="n"/>
      <c r="J232" s="23">
        <f>IF($A232="","",IFERROR(INDEX('Ref_Crosswalk'!$F$2:$F$500,MATCH($A232,'Ref_Crosswalk'!$A$2:$A$500,0)),"UNKNOWN"))</f>
        <v/>
      </c>
      <c r="K232" s="24">
        <f>IF($A232="","",IFERROR(INDEX('Ref_Tolerance'!$B$2:$B$9,MATCH($J232,'Ref_Tolerance'!$A$2:$A$9,0)),""))</f>
        <v/>
      </c>
      <c r="L232" s="23">
        <f>IF($A232="","",IFERROR(INDEX('Ref_Tolerance'!$D$2:$D$9,MATCH($J232,'Ref_Tolerance'!$A$2:$A$9,0)),""))</f>
        <v/>
      </c>
      <c r="M232" s="24">
        <f>IF($A232="","",IFERROR(ABS(N($D232))/N($C232),0))</f>
        <v/>
      </c>
      <c r="N232" s="24">
        <f>IF($A232="","",IFERROR(N($E232)/N($C232),0))</f>
        <v/>
      </c>
      <c r="O232" s="23">
        <f>IF($A232="",0,IFERROR(SUMPRODUCT(($A$8:$A$307=$A232)*($P$8:$P$307="FAIL")*($U$8:$U$307&gt;$V232)*($U$8:$U$307&lt;=$U232)),0))</f>
        <v/>
      </c>
      <c r="P232" s="23">
        <f>IF($A232="","",IFERROR(IF(NOT(ISNUMBER($K232)),"CHECK",IF($L232="MARGIN",IF($N232&lt;=$K232,"PASS","FAIL"),IF($M232&lt;=$K232,"PASS","FAIL"))),"CHECK"))</f>
        <v/>
      </c>
      <c r="Q232" s="23">
        <f>IF($A232="","",IFERROR(INDEX('Ref_Tolerance'!$E$2:$E$9,MATCH($J232,'Ref_Tolerance'!$A$2:$A$9,0)),""))</f>
        <v/>
      </c>
      <c r="R232" s="23">
        <f>IF($A232="","",IFERROR(IF($O232=0,"CLEAR",IF($O232=1,"MFR DUE - MANAGER",IF($O232=2,"MFR DUE - FSS/CC SIGNATURE REQUIRED","INVESTIGATION + REPORT OF SURVEY; MSG/CC NOTIFIED"))),""))</f>
        <v/>
      </c>
      <c r="S232" s="23">
        <f>IF($A232="","",IF($O232=2,"WATCH - ONE MORE MISS TRIGGERS INVESTIGATION",""))</f>
        <v/>
      </c>
      <c r="T232" s="23">
        <f>IF($A232="","",IFERROR(IF(AND($O232&gt;=1,$F232&lt;&gt;"Y"),"MFR NOT SUBMITTED",IF(AND($O232&gt;=2,$G232&lt;&gt;"Y"),"FSS/CC SIGNATURE MISSING",IF(AND($O232&gt;=3,$H232&lt;&gt;"Y"),"INVESTIGATION NOT OPENED",""))),""))</f>
        <v/>
      </c>
      <c r="U232" s="25">
        <f>IF($A232="",0,IFERROR(MATCH($B232,'Ref_Calendar'!$A$2:$A$500,0),0))</f>
        <v/>
      </c>
      <c r="V232" s="25">
        <f>IF($A232="",0,IFERROR(SUMPRODUCT(MAX(($A$8:$A$307=$A232)*($P$8:$P$307="PASS")*($U$8:$U$307&lt;=$U232)*$U$8:$U$307)),0))</f>
        <v/>
      </c>
      <c r="W232" s="25">
        <f>IF($A232="","",IFERROR(INDEX('Ref_Crosswalk'!$E$2:$E$500,MATCH($A232,'Ref_Crosswalk'!$A$2:$A$500,0)),""))</f>
        <v/>
      </c>
      <c r="X232" s="25">
        <f>IF($A232="","",IFERROR(INDEX('Ref_Crosswalk'!$C$2:$C$500,MATCH($A232,'Ref_Crosswalk'!$A$2:$A$500,0)),""))</f>
        <v/>
      </c>
      <c r="Y232" s="25">
        <f>IF($A232="",0,IF(AND(OR('Out_Dashboard'!$C$5="",$W232='Out_Dashboard'!$C$5),OR('Out_Dashboard'!$C$6="",$X232='Out_Dashboard'!$C$6),OR('Out_Dashboard'!$C$7="",$B232='Out_Dashboard'!$C$7)),1,0))</f>
        <v/>
      </c>
      <c r="Z232" s="25">
        <f>IF(AND($A232&lt;&gt;"",$S232&lt;&gt;"",$Y232=1),SUMPRODUCT(($A$8:$A232&lt;&gt;"")*($S$8:$S232&lt;&gt;"")*($Y$8:$Y232=1)),"")</f>
        <v/>
      </c>
      <c r="AA232" s="25">
        <f>IF(AND($A232&lt;&gt;"",$T232&lt;&gt;"",$Y232=1),SUMPRODUCT(($A$8:$A232&lt;&gt;"")*($T$8:$T232&lt;&gt;"")*($Y$8:$Y232=1)),"")</f>
        <v/>
      </c>
    </row>
    <row r="233">
      <c r="A233" s="13" t="n"/>
      <c r="B233" s="13" t="n"/>
      <c r="C233" s="26" t="n"/>
      <c r="D233" s="26" t="n"/>
      <c r="E233" s="26" t="n"/>
      <c r="F233" s="13" t="n"/>
      <c r="G233" s="13" t="n"/>
      <c r="H233" s="13" t="n"/>
      <c r="I233" s="13" t="n"/>
      <c r="J233" s="23">
        <f>IF($A233="","",IFERROR(INDEX('Ref_Crosswalk'!$F$2:$F$500,MATCH($A233,'Ref_Crosswalk'!$A$2:$A$500,0)),"UNKNOWN"))</f>
        <v/>
      </c>
      <c r="K233" s="24">
        <f>IF($A233="","",IFERROR(INDEX('Ref_Tolerance'!$B$2:$B$9,MATCH($J233,'Ref_Tolerance'!$A$2:$A$9,0)),""))</f>
        <v/>
      </c>
      <c r="L233" s="23">
        <f>IF($A233="","",IFERROR(INDEX('Ref_Tolerance'!$D$2:$D$9,MATCH($J233,'Ref_Tolerance'!$A$2:$A$9,0)),""))</f>
        <v/>
      </c>
      <c r="M233" s="24">
        <f>IF($A233="","",IFERROR(ABS(N($D233))/N($C233),0))</f>
        <v/>
      </c>
      <c r="N233" s="24">
        <f>IF($A233="","",IFERROR(N($E233)/N($C233),0))</f>
        <v/>
      </c>
      <c r="O233" s="23">
        <f>IF($A233="",0,IFERROR(SUMPRODUCT(($A$8:$A$307=$A233)*($P$8:$P$307="FAIL")*($U$8:$U$307&gt;$V233)*($U$8:$U$307&lt;=$U233)),0))</f>
        <v/>
      </c>
      <c r="P233" s="23">
        <f>IF($A233="","",IFERROR(IF(NOT(ISNUMBER($K233)),"CHECK",IF($L233="MARGIN",IF($N233&lt;=$K233,"PASS","FAIL"),IF($M233&lt;=$K233,"PASS","FAIL"))),"CHECK"))</f>
        <v/>
      </c>
      <c r="Q233" s="23">
        <f>IF($A233="","",IFERROR(INDEX('Ref_Tolerance'!$E$2:$E$9,MATCH($J233,'Ref_Tolerance'!$A$2:$A$9,0)),""))</f>
        <v/>
      </c>
      <c r="R233" s="23">
        <f>IF($A233="","",IFERROR(IF($O233=0,"CLEAR",IF($O233=1,"MFR DUE - MANAGER",IF($O233=2,"MFR DUE - FSS/CC SIGNATURE REQUIRED","INVESTIGATION + REPORT OF SURVEY; MSG/CC NOTIFIED"))),""))</f>
        <v/>
      </c>
      <c r="S233" s="23">
        <f>IF($A233="","",IF($O233=2,"WATCH - ONE MORE MISS TRIGGERS INVESTIGATION",""))</f>
        <v/>
      </c>
      <c r="T233" s="23">
        <f>IF($A233="","",IFERROR(IF(AND($O233&gt;=1,$F233&lt;&gt;"Y"),"MFR NOT SUBMITTED",IF(AND($O233&gt;=2,$G233&lt;&gt;"Y"),"FSS/CC SIGNATURE MISSING",IF(AND($O233&gt;=3,$H233&lt;&gt;"Y"),"INVESTIGATION NOT OPENED",""))),""))</f>
        <v/>
      </c>
      <c r="U233" s="25">
        <f>IF($A233="",0,IFERROR(MATCH($B233,'Ref_Calendar'!$A$2:$A$500,0),0))</f>
        <v/>
      </c>
      <c r="V233" s="25">
        <f>IF($A233="",0,IFERROR(SUMPRODUCT(MAX(($A$8:$A$307=$A233)*($P$8:$P$307="PASS")*($U$8:$U$307&lt;=$U233)*$U$8:$U$307)),0))</f>
        <v/>
      </c>
      <c r="W233" s="25">
        <f>IF($A233="","",IFERROR(INDEX('Ref_Crosswalk'!$E$2:$E$500,MATCH($A233,'Ref_Crosswalk'!$A$2:$A$500,0)),""))</f>
        <v/>
      </c>
      <c r="X233" s="25">
        <f>IF($A233="","",IFERROR(INDEX('Ref_Crosswalk'!$C$2:$C$500,MATCH($A233,'Ref_Crosswalk'!$A$2:$A$500,0)),""))</f>
        <v/>
      </c>
      <c r="Y233" s="25">
        <f>IF($A233="",0,IF(AND(OR('Out_Dashboard'!$C$5="",$W233='Out_Dashboard'!$C$5),OR('Out_Dashboard'!$C$6="",$X233='Out_Dashboard'!$C$6),OR('Out_Dashboard'!$C$7="",$B233='Out_Dashboard'!$C$7)),1,0))</f>
        <v/>
      </c>
      <c r="Z233" s="25">
        <f>IF(AND($A233&lt;&gt;"",$S233&lt;&gt;"",$Y233=1),SUMPRODUCT(($A$8:$A233&lt;&gt;"")*($S$8:$S233&lt;&gt;"")*($Y$8:$Y233=1)),"")</f>
        <v/>
      </c>
      <c r="AA233" s="25">
        <f>IF(AND($A233&lt;&gt;"",$T233&lt;&gt;"",$Y233=1),SUMPRODUCT(($A$8:$A233&lt;&gt;"")*($T$8:$T233&lt;&gt;"")*($Y$8:$Y233=1)),"")</f>
        <v/>
      </c>
    </row>
    <row r="234">
      <c r="A234" s="13" t="n"/>
      <c r="B234" s="13" t="n"/>
      <c r="C234" s="26" t="n"/>
      <c r="D234" s="26" t="n"/>
      <c r="E234" s="26" t="n"/>
      <c r="F234" s="13" t="n"/>
      <c r="G234" s="13" t="n"/>
      <c r="H234" s="13" t="n"/>
      <c r="I234" s="13" t="n"/>
      <c r="J234" s="23">
        <f>IF($A234="","",IFERROR(INDEX('Ref_Crosswalk'!$F$2:$F$500,MATCH($A234,'Ref_Crosswalk'!$A$2:$A$500,0)),"UNKNOWN"))</f>
        <v/>
      </c>
      <c r="K234" s="24">
        <f>IF($A234="","",IFERROR(INDEX('Ref_Tolerance'!$B$2:$B$9,MATCH($J234,'Ref_Tolerance'!$A$2:$A$9,0)),""))</f>
        <v/>
      </c>
      <c r="L234" s="23">
        <f>IF($A234="","",IFERROR(INDEX('Ref_Tolerance'!$D$2:$D$9,MATCH($J234,'Ref_Tolerance'!$A$2:$A$9,0)),""))</f>
        <v/>
      </c>
      <c r="M234" s="24">
        <f>IF($A234="","",IFERROR(ABS(N($D234))/N($C234),0))</f>
        <v/>
      </c>
      <c r="N234" s="24">
        <f>IF($A234="","",IFERROR(N($E234)/N($C234),0))</f>
        <v/>
      </c>
      <c r="O234" s="23">
        <f>IF($A234="",0,IFERROR(SUMPRODUCT(($A$8:$A$307=$A234)*($P$8:$P$307="FAIL")*($U$8:$U$307&gt;$V234)*($U$8:$U$307&lt;=$U234)),0))</f>
        <v/>
      </c>
      <c r="P234" s="23">
        <f>IF($A234="","",IFERROR(IF(NOT(ISNUMBER($K234)),"CHECK",IF($L234="MARGIN",IF($N234&lt;=$K234,"PASS","FAIL"),IF($M234&lt;=$K234,"PASS","FAIL"))),"CHECK"))</f>
        <v/>
      </c>
      <c r="Q234" s="23">
        <f>IF($A234="","",IFERROR(INDEX('Ref_Tolerance'!$E$2:$E$9,MATCH($J234,'Ref_Tolerance'!$A$2:$A$9,0)),""))</f>
        <v/>
      </c>
      <c r="R234" s="23">
        <f>IF($A234="","",IFERROR(IF($O234=0,"CLEAR",IF($O234=1,"MFR DUE - MANAGER",IF($O234=2,"MFR DUE - FSS/CC SIGNATURE REQUIRED","INVESTIGATION + REPORT OF SURVEY; MSG/CC NOTIFIED"))),""))</f>
        <v/>
      </c>
      <c r="S234" s="23">
        <f>IF($A234="","",IF($O234=2,"WATCH - ONE MORE MISS TRIGGERS INVESTIGATION",""))</f>
        <v/>
      </c>
      <c r="T234" s="23">
        <f>IF($A234="","",IFERROR(IF(AND($O234&gt;=1,$F234&lt;&gt;"Y"),"MFR NOT SUBMITTED",IF(AND($O234&gt;=2,$G234&lt;&gt;"Y"),"FSS/CC SIGNATURE MISSING",IF(AND($O234&gt;=3,$H234&lt;&gt;"Y"),"INVESTIGATION NOT OPENED",""))),""))</f>
        <v/>
      </c>
      <c r="U234" s="25">
        <f>IF($A234="",0,IFERROR(MATCH($B234,'Ref_Calendar'!$A$2:$A$500,0),0))</f>
        <v/>
      </c>
      <c r="V234" s="25">
        <f>IF($A234="",0,IFERROR(SUMPRODUCT(MAX(($A$8:$A$307=$A234)*($P$8:$P$307="PASS")*($U$8:$U$307&lt;=$U234)*$U$8:$U$307)),0))</f>
        <v/>
      </c>
      <c r="W234" s="25">
        <f>IF($A234="","",IFERROR(INDEX('Ref_Crosswalk'!$E$2:$E$500,MATCH($A234,'Ref_Crosswalk'!$A$2:$A$500,0)),""))</f>
        <v/>
      </c>
      <c r="X234" s="25">
        <f>IF($A234="","",IFERROR(INDEX('Ref_Crosswalk'!$C$2:$C$500,MATCH($A234,'Ref_Crosswalk'!$A$2:$A$500,0)),""))</f>
        <v/>
      </c>
      <c r="Y234" s="25">
        <f>IF($A234="",0,IF(AND(OR('Out_Dashboard'!$C$5="",$W234='Out_Dashboard'!$C$5),OR('Out_Dashboard'!$C$6="",$X234='Out_Dashboard'!$C$6),OR('Out_Dashboard'!$C$7="",$B234='Out_Dashboard'!$C$7)),1,0))</f>
        <v/>
      </c>
      <c r="Z234" s="25">
        <f>IF(AND($A234&lt;&gt;"",$S234&lt;&gt;"",$Y234=1),SUMPRODUCT(($A$8:$A234&lt;&gt;"")*($S$8:$S234&lt;&gt;"")*($Y$8:$Y234=1)),"")</f>
        <v/>
      </c>
      <c r="AA234" s="25">
        <f>IF(AND($A234&lt;&gt;"",$T234&lt;&gt;"",$Y234=1),SUMPRODUCT(($A$8:$A234&lt;&gt;"")*($T$8:$T234&lt;&gt;"")*($Y$8:$Y234=1)),"")</f>
        <v/>
      </c>
    </row>
    <row r="235">
      <c r="A235" s="13" t="n"/>
      <c r="B235" s="13" t="n"/>
      <c r="C235" s="26" t="n"/>
      <c r="D235" s="26" t="n"/>
      <c r="E235" s="26" t="n"/>
      <c r="F235" s="13" t="n"/>
      <c r="G235" s="13" t="n"/>
      <c r="H235" s="13" t="n"/>
      <c r="I235" s="13" t="n"/>
      <c r="J235" s="23">
        <f>IF($A235="","",IFERROR(INDEX('Ref_Crosswalk'!$F$2:$F$500,MATCH($A235,'Ref_Crosswalk'!$A$2:$A$500,0)),"UNKNOWN"))</f>
        <v/>
      </c>
      <c r="K235" s="24">
        <f>IF($A235="","",IFERROR(INDEX('Ref_Tolerance'!$B$2:$B$9,MATCH($J235,'Ref_Tolerance'!$A$2:$A$9,0)),""))</f>
        <v/>
      </c>
      <c r="L235" s="23">
        <f>IF($A235="","",IFERROR(INDEX('Ref_Tolerance'!$D$2:$D$9,MATCH($J235,'Ref_Tolerance'!$A$2:$A$9,0)),""))</f>
        <v/>
      </c>
      <c r="M235" s="24">
        <f>IF($A235="","",IFERROR(ABS(N($D235))/N($C235),0))</f>
        <v/>
      </c>
      <c r="N235" s="24">
        <f>IF($A235="","",IFERROR(N($E235)/N($C235),0))</f>
        <v/>
      </c>
      <c r="O235" s="23">
        <f>IF($A235="",0,IFERROR(SUMPRODUCT(($A$8:$A$307=$A235)*($P$8:$P$307="FAIL")*($U$8:$U$307&gt;$V235)*($U$8:$U$307&lt;=$U235)),0))</f>
        <v/>
      </c>
      <c r="P235" s="23">
        <f>IF($A235="","",IFERROR(IF(NOT(ISNUMBER($K235)),"CHECK",IF($L235="MARGIN",IF($N235&lt;=$K235,"PASS","FAIL"),IF($M235&lt;=$K235,"PASS","FAIL"))),"CHECK"))</f>
        <v/>
      </c>
      <c r="Q235" s="23">
        <f>IF($A235="","",IFERROR(INDEX('Ref_Tolerance'!$E$2:$E$9,MATCH($J235,'Ref_Tolerance'!$A$2:$A$9,0)),""))</f>
        <v/>
      </c>
      <c r="R235" s="23">
        <f>IF($A235="","",IFERROR(IF($O235=0,"CLEAR",IF($O235=1,"MFR DUE - MANAGER",IF($O235=2,"MFR DUE - FSS/CC SIGNATURE REQUIRED","INVESTIGATION + REPORT OF SURVEY; MSG/CC NOTIFIED"))),""))</f>
        <v/>
      </c>
      <c r="S235" s="23">
        <f>IF($A235="","",IF($O235=2,"WATCH - ONE MORE MISS TRIGGERS INVESTIGATION",""))</f>
        <v/>
      </c>
      <c r="T235" s="23">
        <f>IF($A235="","",IFERROR(IF(AND($O235&gt;=1,$F235&lt;&gt;"Y"),"MFR NOT SUBMITTED",IF(AND($O235&gt;=2,$G235&lt;&gt;"Y"),"FSS/CC SIGNATURE MISSING",IF(AND($O235&gt;=3,$H235&lt;&gt;"Y"),"INVESTIGATION NOT OPENED",""))),""))</f>
        <v/>
      </c>
      <c r="U235" s="25">
        <f>IF($A235="",0,IFERROR(MATCH($B235,'Ref_Calendar'!$A$2:$A$500,0),0))</f>
        <v/>
      </c>
      <c r="V235" s="25">
        <f>IF($A235="",0,IFERROR(SUMPRODUCT(MAX(($A$8:$A$307=$A235)*($P$8:$P$307="PASS")*($U$8:$U$307&lt;=$U235)*$U$8:$U$307)),0))</f>
        <v/>
      </c>
      <c r="W235" s="25">
        <f>IF($A235="","",IFERROR(INDEX('Ref_Crosswalk'!$E$2:$E$500,MATCH($A235,'Ref_Crosswalk'!$A$2:$A$500,0)),""))</f>
        <v/>
      </c>
      <c r="X235" s="25">
        <f>IF($A235="","",IFERROR(INDEX('Ref_Crosswalk'!$C$2:$C$500,MATCH($A235,'Ref_Crosswalk'!$A$2:$A$500,0)),""))</f>
        <v/>
      </c>
      <c r="Y235" s="25">
        <f>IF($A235="",0,IF(AND(OR('Out_Dashboard'!$C$5="",$W235='Out_Dashboard'!$C$5),OR('Out_Dashboard'!$C$6="",$X235='Out_Dashboard'!$C$6),OR('Out_Dashboard'!$C$7="",$B235='Out_Dashboard'!$C$7)),1,0))</f>
        <v/>
      </c>
      <c r="Z235" s="25">
        <f>IF(AND($A235&lt;&gt;"",$S235&lt;&gt;"",$Y235=1),SUMPRODUCT(($A$8:$A235&lt;&gt;"")*($S$8:$S235&lt;&gt;"")*($Y$8:$Y235=1)),"")</f>
        <v/>
      </c>
      <c r="AA235" s="25">
        <f>IF(AND($A235&lt;&gt;"",$T235&lt;&gt;"",$Y235=1),SUMPRODUCT(($A$8:$A235&lt;&gt;"")*($T$8:$T235&lt;&gt;"")*($Y$8:$Y235=1)),"")</f>
        <v/>
      </c>
    </row>
    <row r="236">
      <c r="A236" s="13" t="n"/>
      <c r="B236" s="13" t="n"/>
      <c r="C236" s="26" t="n"/>
      <c r="D236" s="26" t="n"/>
      <c r="E236" s="26" t="n"/>
      <c r="F236" s="13" t="n"/>
      <c r="G236" s="13" t="n"/>
      <c r="H236" s="13" t="n"/>
      <c r="I236" s="13" t="n"/>
      <c r="J236" s="23">
        <f>IF($A236="","",IFERROR(INDEX('Ref_Crosswalk'!$F$2:$F$500,MATCH($A236,'Ref_Crosswalk'!$A$2:$A$500,0)),"UNKNOWN"))</f>
        <v/>
      </c>
      <c r="K236" s="24">
        <f>IF($A236="","",IFERROR(INDEX('Ref_Tolerance'!$B$2:$B$9,MATCH($J236,'Ref_Tolerance'!$A$2:$A$9,0)),""))</f>
        <v/>
      </c>
      <c r="L236" s="23">
        <f>IF($A236="","",IFERROR(INDEX('Ref_Tolerance'!$D$2:$D$9,MATCH($J236,'Ref_Tolerance'!$A$2:$A$9,0)),""))</f>
        <v/>
      </c>
      <c r="M236" s="24">
        <f>IF($A236="","",IFERROR(ABS(N($D236))/N($C236),0))</f>
        <v/>
      </c>
      <c r="N236" s="24">
        <f>IF($A236="","",IFERROR(N($E236)/N($C236),0))</f>
        <v/>
      </c>
      <c r="O236" s="23">
        <f>IF($A236="",0,IFERROR(SUMPRODUCT(($A$8:$A$307=$A236)*($P$8:$P$307="FAIL")*($U$8:$U$307&gt;$V236)*($U$8:$U$307&lt;=$U236)),0))</f>
        <v/>
      </c>
      <c r="P236" s="23">
        <f>IF($A236="","",IFERROR(IF(NOT(ISNUMBER($K236)),"CHECK",IF($L236="MARGIN",IF($N236&lt;=$K236,"PASS","FAIL"),IF($M236&lt;=$K236,"PASS","FAIL"))),"CHECK"))</f>
        <v/>
      </c>
      <c r="Q236" s="23">
        <f>IF($A236="","",IFERROR(INDEX('Ref_Tolerance'!$E$2:$E$9,MATCH($J236,'Ref_Tolerance'!$A$2:$A$9,0)),""))</f>
        <v/>
      </c>
      <c r="R236" s="23">
        <f>IF($A236="","",IFERROR(IF($O236=0,"CLEAR",IF($O236=1,"MFR DUE - MANAGER",IF($O236=2,"MFR DUE - FSS/CC SIGNATURE REQUIRED","INVESTIGATION + REPORT OF SURVEY; MSG/CC NOTIFIED"))),""))</f>
        <v/>
      </c>
      <c r="S236" s="23">
        <f>IF($A236="","",IF($O236=2,"WATCH - ONE MORE MISS TRIGGERS INVESTIGATION",""))</f>
        <v/>
      </c>
      <c r="T236" s="23">
        <f>IF($A236="","",IFERROR(IF(AND($O236&gt;=1,$F236&lt;&gt;"Y"),"MFR NOT SUBMITTED",IF(AND($O236&gt;=2,$G236&lt;&gt;"Y"),"FSS/CC SIGNATURE MISSING",IF(AND($O236&gt;=3,$H236&lt;&gt;"Y"),"INVESTIGATION NOT OPENED",""))),""))</f>
        <v/>
      </c>
      <c r="U236" s="25">
        <f>IF($A236="",0,IFERROR(MATCH($B236,'Ref_Calendar'!$A$2:$A$500,0),0))</f>
        <v/>
      </c>
      <c r="V236" s="25">
        <f>IF($A236="",0,IFERROR(SUMPRODUCT(MAX(($A$8:$A$307=$A236)*($P$8:$P$307="PASS")*($U$8:$U$307&lt;=$U236)*$U$8:$U$307)),0))</f>
        <v/>
      </c>
      <c r="W236" s="25">
        <f>IF($A236="","",IFERROR(INDEX('Ref_Crosswalk'!$E$2:$E$500,MATCH($A236,'Ref_Crosswalk'!$A$2:$A$500,0)),""))</f>
        <v/>
      </c>
      <c r="X236" s="25">
        <f>IF($A236="","",IFERROR(INDEX('Ref_Crosswalk'!$C$2:$C$500,MATCH($A236,'Ref_Crosswalk'!$A$2:$A$500,0)),""))</f>
        <v/>
      </c>
      <c r="Y236" s="25">
        <f>IF($A236="",0,IF(AND(OR('Out_Dashboard'!$C$5="",$W236='Out_Dashboard'!$C$5),OR('Out_Dashboard'!$C$6="",$X236='Out_Dashboard'!$C$6),OR('Out_Dashboard'!$C$7="",$B236='Out_Dashboard'!$C$7)),1,0))</f>
        <v/>
      </c>
      <c r="Z236" s="25">
        <f>IF(AND($A236&lt;&gt;"",$S236&lt;&gt;"",$Y236=1),SUMPRODUCT(($A$8:$A236&lt;&gt;"")*($S$8:$S236&lt;&gt;"")*($Y$8:$Y236=1)),"")</f>
        <v/>
      </c>
      <c r="AA236" s="25">
        <f>IF(AND($A236&lt;&gt;"",$T236&lt;&gt;"",$Y236=1),SUMPRODUCT(($A$8:$A236&lt;&gt;"")*($T$8:$T236&lt;&gt;"")*($Y$8:$Y236=1)),"")</f>
        <v/>
      </c>
    </row>
    <row r="237">
      <c r="A237" s="13" t="n"/>
      <c r="B237" s="13" t="n"/>
      <c r="C237" s="26" t="n"/>
      <c r="D237" s="26" t="n"/>
      <c r="E237" s="26" t="n"/>
      <c r="F237" s="13" t="n"/>
      <c r="G237" s="13" t="n"/>
      <c r="H237" s="13" t="n"/>
      <c r="I237" s="13" t="n"/>
      <c r="J237" s="23">
        <f>IF($A237="","",IFERROR(INDEX('Ref_Crosswalk'!$F$2:$F$500,MATCH($A237,'Ref_Crosswalk'!$A$2:$A$500,0)),"UNKNOWN"))</f>
        <v/>
      </c>
      <c r="K237" s="24">
        <f>IF($A237="","",IFERROR(INDEX('Ref_Tolerance'!$B$2:$B$9,MATCH($J237,'Ref_Tolerance'!$A$2:$A$9,0)),""))</f>
        <v/>
      </c>
      <c r="L237" s="23">
        <f>IF($A237="","",IFERROR(INDEX('Ref_Tolerance'!$D$2:$D$9,MATCH($J237,'Ref_Tolerance'!$A$2:$A$9,0)),""))</f>
        <v/>
      </c>
      <c r="M237" s="24">
        <f>IF($A237="","",IFERROR(ABS(N($D237))/N($C237),0))</f>
        <v/>
      </c>
      <c r="N237" s="24">
        <f>IF($A237="","",IFERROR(N($E237)/N($C237),0))</f>
        <v/>
      </c>
      <c r="O237" s="23">
        <f>IF($A237="",0,IFERROR(SUMPRODUCT(($A$8:$A$307=$A237)*($P$8:$P$307="FAIL")*($U$8:$U$307&gt;$V237)*($U$8:$U$307&lt;=$U237)),0))</f>
        <v/>
      </c>
      <c r="P237" s="23">
        <f>IF($A237="","",IFERROR(IF(NOT(ISNUMBER($K237)),"CHECK",IF($L237="MARGIN",IF($N237&lt;=$K237,"PASS","FAIL"),IF($M237&lt;=$K237,"PASS","FAIL"))),"CHECK"))</f>
        <v/>
      </c>
      <c r="Q237" s="23">
        <f>IF($A237="","",IFERROR(INDEX('Ref_Tolerance'!$E$2:$E$9,MATCH($J237,'Ref_Tolerance'!$A$2:$A$9,0)),""))</f>
        <v/>
      </c>
      <c r="R237" s="23">
        <f>IF($A237="","",IFERROR(IF($O237=0,"CLEAR",IF($O237=1,"MFR DUE - MANAGER",IF($O237=2,"MFR DUE - FSS/CC SIGNATURE REQUIRED","INVESTIGATION + REPORT OF SURVEY; MSG/CC NOTIFIED"))),""))</f>
        <v/>
      </c>
      <c r="S237" s="23">
        <f>IF($A237="","",IF($O237=2,"WATCH - ONE MORE MISS TRIGGERS INVESTIGATION",""))</f>
        <v/>
      </c>
      <c r="T237" s="23">
        <f>IF($A237="","",IFERROR(IF(AND($O237&gt;=1,$F237&lt;&gt;"Y"),"MFR NOT SUBMITTED",IF(AND($O237&gt;=2,$G237&lt;&gt;"Y"),"FSS/CC SIGNATURE MISSING",IF(AND($O237&gt;=3,$H237&lt;&gt;"Y"),"INVESTIGATION NOT OPENED",""))),""))</f>
        <v/>
      </c>
      <c r="U237" s="25">
        <f>IF($A237="",0,IFERROR(MATCH($B237,'Ref_Calendar'!$A$2:$A$500,0),0))</f>
        <v/>
      </c>
      <c r="V237" s="25">
        <f>IF($A237="",0,IFERROR(SUMPRODUCT(MAX(($A$8:$A$307=$A237)*($P$8:$P$307="PASS")*($U$8:$U$307&lt;=$U237)*$U$8:$U$307)),0))</f>
        <v/>
      </c>
      <c r="W237" s="25">
        <f>IF($A237="","",IFERROR(INDEX('Ref_Crosswalk'!$E$2:$E$500,MATCH($A237,'Ref_Crosswalk'!$A$2:$A$500,0)),""))</f>
        <v/>
      </c>
      <c r="X237" s="25">
        <f>IF($A237="","",IFERROR(INDEX('Ref_Crosswalk'!$C$2:$C$500,MATCH($A237,'Ref_Crosswalk'!$A$2:$A$500,0)),""))</f>
        <v/>
      </c>
      <c r="Y237" s="25">
        <f>IF($A237="",0,IF(AND(OR('Out_Dashboard'!$C$5="",$W237='Out_Dashboard'!$C$5),OR('Out_Dashboard'!$C$6="",$X237='Out_Dashboard'!$C$6),OR('Out_Dashboard'!$C$7="",$B237='Out_Dashboard'!$C$7)),1,0))</f>
        <v/>
      </c>
      <c r="Z237" s="25">
        <f>IF(AND($A237&lt;&gt;"",$S237&lt;&gt;"",$Y237=1),SUMPRODUCT(($A$8:$A237&lt;&gt;"")*($S$8:$S237&lt;&gt;"")*($Y$8:$Y237=1)),"")</f>
        <v/>
      </c>
      <c r="AA237" s="25">
        <f>IF(AND($A237&lt;&gt;"",$T237&lt;&gt;"",$Y237=1),SUMPRODUCT(($A$8:$A237&lt;&gt;"")*($T$8:$T237&lt;&gt;"")*($Y$8:$Y237=1)),"")</f>
        <v/>
      </c>
    </row>
    <row r="238">
      <c r="A238" s="13" t="n"/>
      <c r="B238" s="13" t="n"/>
      <c r="C238" s="26" t="n"/>
      <c r="D238" s="26" t="n"/>
      <c r="E238" s="26" t="n"/>
      <c r="F238" s="13" t="n"/>
      <c r="G238" s="13" t="n"/>
      <c r="H238" s="13" t="n"/>
      <c r="I238" s="13" t="n"/>
      <c r="J238" s="23">
        <f>IF($A238="","",IFERROR(INDEX('Ref_Crosswalk'!$F$2:$F$500,MATCH($A238,'Ref_Crosswalk'!$A$2:$A$500,0)),"UNKNOWN"))</f>
        <v/>
      </c>
      <c r="K238" s="24">
        <f>IF($A238="","",IFERROR(INDEX('Ref_Tolerance'!$B$2:$B$9,MATCH($J238,'Ref_Tolerance'!$A$2:$A$9,0)),""))</f>
        <v/>
      </c>
      <c r="L238" s="23">
        <f>IF($A238="","",IFERROR(INDEX('Ref_Tolerance'!$D$2:$D$9,MATCH($J238,'Ref_Tolerance'!$A$2:$A$9,0)),""))</f>
        <v/>
      </c>
      <c r="M238" s="24">
        <f>IF($A238="","",IFERROR(ABS(N($D238))/N($C238),0))</f>
        <v/>
      </c>
      <c r="N238" s="24">
        <f>IF($A238="","",IFERROR(N($E238)/N($C238),0))</f>
        <v/>
      </c>
      <c r="O238" s="23">
        <f>IF($A238="",0,IFERROR(SUMPRODUCT(($A$8:$A$307=$A238)*($P$8:$P$307="FAIL")*($U$8:$U$307&gt;$V238)*($U$8:$U$307&lt;=$U238)),0))</f>
        <v/>
      </c>
      <c r="P238" s="23">
        <f>IF($A238="","",IFERROR(IF(NOT(ISNUMBER($K238)),"CHECK",IF($L238="MARGIN",IF($N238&lt;=$K238,"PASS","FAIL"),IF($M238&lt;=$K238,"PASS","FAIL"))),"CHECK"))</f>
        <v/>
      </c>
      <c r="Q238" s="23">
        <f>IF($A238="","",IFERROR(INDEX('Ref_Tolerance'!$E$2:$E$9,MATCH($J238,'Ref_Tolerance'!$A$2:$A$9,0)),""))</f>
        <v/>
      </c>
      <c r="R238" s="23">
        <f>IF($A238="","",IFERROR(IF($O238=0,"CLEAR",IF($O238=1,"MFR DUE - MANAGER",IF($O238=2,"MFR DUE - FSS/CC SIGNATURE REQUIRED","INVESTIGATION + REPORT OF SURVEY; MSG/CC NOTIFIED"))),""))</f>
        <v/>
      </c>
      <c r="S238" s="23">
        <f>IF($A238="","",IF($O238=2,"WATCH - ONE MORE MISS TRIGGERS INVESTIGATION",""))</f>
        <v/>
      </c>
      <c r="T238" s="23">
        <f>IF($A238="","",IFERROR(IF(AND($O238&gt;=1,$F238&lt;&gt;"Y"),"MFR NOT SUBMITTED",IF(AND($O238&gt;=2,$G238&lt;&gt;"Y"),"FSS/CC SIGNATURE MISSING",IF(AND($O238&gt;=3,$H238&lt;&gt;"Y"),"INVESTIGATION NOT OPENED",""))),""))</f>
        <v/>
      </c>
      <c r="U238" s="25">
        <f>IF($A238="",0,IFERROR(MATCH($B238,'Ref_Calendar'!$A$2:$A$500,0),0))</f>
        <v/>
      </c>
      <c r="V238" s="25">
        <f>IF($A238="",0,IFERROR(SUMPRODUCT(MAX(($A$8:$A$307=$A238)*($P$8:$P$307="PASS")*($U$8:$U$307&lt;=$U238)*$U$8:$U$307)),0))</f>
        <v/>
      </c>
      <c r="W238" s="25">
        <f>IF($A238="","",IFERROR(INDEX('Ref_Crosswalk'!$E$2:$E$500,MATCH($A238,'Ref_Crosswalk'!$A$2:$A$500,0)),""))</f>
        <v/>
      </c>
      <c r="X238" s="25">
        <f>IF($A238="","",IFERROR(INDEX('Ref_Crosswalk'!$C$2:$C$500,MATCH($A238,'Ref_Crosswalk'!$A$2:$A$500,0)),""))</f>
        <v/>
      </c>
      <c r="Y238" s="25">
        <f>IF($A238="",0,IF(AND(OR('Out_Dashboard'!$C$5="",$W238='Out_Dashboard'!$C$5),OR('Out_Dashboard'!$C$6="",$X238='Out_Dashboard'!$C$6),OR('Out_Dashboard'!$C$7="",$B238='Out_Dashboard'!$C$7)),1,0))</f>
        <v/>
      </c>
      <c r="Z238" s="25">
        <f>IF(AND($A238&lt;&gt;"",$S238&lt;&gt;"",$Y238=1),SUMPRODUCT(($A$8:$A238&lt;&gt;"")*($S$8:$S238&lt;&gt;"")*($Y$8:$Y238=1)),"")</f>
        <v/>
      </c>
      <c r="AA238" s="25">
        <f>IF(AND($A238&lt;&gt;"",$T238&lt;&gt;"",$Y238=1),SUMPRODUCT(($A$8:$A238&lt;&gt;"")*($T$8:$T238&lt;&gt;"")*($Y$8:$Y238=1)),"")</f>
        <v/>
      </c>
    </row>
    <row r="239">
      <c r="A239" s="13" t="n"/>
      <c r="B239" s="13" t="n"/>
      <c r="C239" s="26" t="n"/>
      <c r="D239" s="26" t="n"/>
      <c r="E239" s="26" t="n"/>
      <c r="F239" s="13" t="n"/>
      <c r="G239" s="13" t="n"/>
      <c r="H239" s="13" t="n"/>
      <c r="I239" s="13" t="n"/>
      <c r="J239" s="23">
        <f>IF($A239="","",IFERROR(INDEX('Ref_Crosswalk'!$F$2:$F$500,MATCH($A239,'Ref_Crosswalk'!$A$2:$A$500,0)),"UNKNOWN"))</f>
        <v/>
      </c>
      <c r="K239" s="24">
        <f>IF($A239="","",IFERROR(INDEX('Ref_Tolerance'!$B$2:$B$9,MATCH($J239,'Ref_Tolerance'!$A$2:$A$9,0)),""))</f>
        <v/>
      </c>
      <c r="L239" s="23">
        <f>IF($A239="","",IFERROR(INDEX('Ref_Tolerance'!$D$2:$D$9,MATCH($J239,'Ref_Tolerance'!$A$2:$A$9,0)),""))</f>
        <v/>
      </c>
      <c r="M239" s="24">
        <f>IF($A239="","",IFERROR(ABS(N($D239))/N($C239),0))</f>
        <v/>
      </c>
      <c r="N239" s="24">
        <f>IF($A239="","",IFERROR(N($E239)/N($C239),0))</f>
        <v/>
      </c>
      <c r="O239" s="23">
        <f>IF($A239="",0,IFERROR(SUMPRODUCT(($A$8:$A$307=$A239)*($P$8:$P$307="FAIL")*($U$8:$U$307&gt;$V239)*($U$8:$U$307&lt;=$U239)),0))</f>
        <v/>
      </c>
      <c r="P239" s="23">
        <f>IF($A239="","",IFERROR(IF(NOT(ISNUMBER($K239)),"CHECK",IF($L239="MARGIN",IF($N239&lt;=$K239,"PASS","FAIL"),IF($M239&lt;=$K239,"PASS","FAIL"))),"CHECK"))</f>
        <v/>
      </c>
      <c r="Q239" s="23">
        <f>IF($A239="","",IFERROR(INDEX('Ref_Tolerance'!$E$2:$E$9,MATCH($J239,'Ref_Tolerance'!$A$2:$A$9,0)),""))</f>
        <v/>
      </c>
      <c r="R239" s="23">
        <f>IF($A239="","",IFERROR(IF($O239=0,"CLEAR",IF($O239=1,"MFR DUE - MANAGER",IF($O239=2,"MFR DUE - FSS/CC SIGNATURE REQUIRED","INVESTIGATION + REPORT OF SURVEY; MSG/CC NOTIFIED"))),""))</f>
        <v/>
      </c>
      <c r="S239" s="23">
        <f>IF($A239="","",IF($O239=2,"WATCH - ONE MORE MISS TRIGGERS INVESTIGATION",""))</f>
        <v/>
      </c>
      <c r="T239" s="23">
        <f>IF($A239="","",IFERROR(IF(AND($O239&gt;=1,$F239&lt;&gt;"Y"),"MFR NOT SUBMITTED",IF(AND($O239&gt;=2,$G239&lt;&gt;"Y"),"FSS/CC SIGNATURE MISSING",IF(AND($O239&gt;=3,$H239&lt;&gt;"Y"),"INVESTIGATION NOT OPENED",""))),""))</f>
        <v/>
      </c>
      <c r="U239" s="25">
        <f>IF($A239="",0,IFERROR(MATCH($B239,'Ref_Calendar'!$A$2:$A$500,0),0))</f>
        <v/>
      </c>
      <c r="V239" s="25">
        <f>IF($A239="",0,IFERROR(SUMPRODUCT(MAX(($A$8:$A$307=$A239)*($P$8:$P$307="PASS")*($U$8:$U$307&lt;=$U239)*$U$8:$U$307)),0))</f>
        <v/>
      </c>
      <c r="W239" s="25">
        <f>IF($A239="","",IFERROR(INDEX('Ref_Crosswalk'!$E$2:$E$500,MATCH($A239,'Ref_Crosswalk'!$A$2:$A$500,0)),""))</f>
        <v/>
      </c>
      <c r="X239" s="25">
        <f>IF($A239="","",IFERROR(INDEX('Ref_Crosswalk'!$C$2:$C$500,MATCH($A239,'Ref_Crosswalk'!$A$2:$A$500,0)),""))</f>
        <v/>
      </c>
      <c r="Y239" s="25">
        <f>IF($A239="",0,IF(AND(OR('Out_Dashboard'!$C$5="",$W239='Out_Dashboard'!$C$5),OR('Out_Dashboard'!$C$6="",$X239='Out_Dashboard'!$C$6),OR('Out_Dashboard'!$C$7="",$B239='Out_Dashboard'!$C$7)),1,0))</f>
        <v/>
      </c>
      <c r="Z239" s="25">
        <f>IF(AND($A239&lt;&gt;"",$S239&lt;&gt;"",$Y239=1),SUMPRODUCT(($A$8:$A239&lt;&gt;"")*($S$8:$S239&lt;&gt;"")*($Y$8:$Y239=1)),"")</f>
        <v/>
      </c>
      <c r="AA239" s="25">
        <f>IF(AND($A239&lt;&gt;"",$T239&lt;&gt;"",$Y239=1),SUMPRODUCT(($A$8:$A239&lt;&gt;"")*($T$8:$T239&lt;&gt;"")*($Y$8:$Y239=1)),"")</f>
        <v/>
      </c>
    </row>
    <row r="240">
      <c r="A240" s="13" t="n"/>
      <c r="B240" s="13" t="n"/>
      <c r="C240" s="26" t="n"/>
      <c r="D240" s="26" t="n"/>
      <c r="E240" s="26" t="n"/>
      <c r="F240" s="13" t="n"/>
      <c r="G240" s="13" t="n"/>
      <c r="H240" s="13" t="n"/>
      <c r="I240" s="13" t="n"/>
      <c r="J240" s="23">
        <f>IF($A240="","",IFERROR(INDEX('Ref_Crosswalk'!$F$2:$F$500,MATCH($A240,'Ref_Crosswalk'!$A$2:$A$500,0)),"UNKNOWN"))</f>
        <v/>
      </c>
      <c r="K240" s="24">
        <f>IF($A240="","",IFERROR(INDEX('Ref_Tolerance'!$B$2:$B$9,MATCH($J240,'Ref_Tolerance'!$A$2:$A$9,0)),""))</f>
        <v/>
      </c>
      <c r="L240" s="23">
        <f>IF($A240="","",IFERROR(INDEX('Ref_Tolerance'!$D$2:$D$9,MATCH($J240,'Ref_Tolerance'!$A$2:$A$9,0)),""))</f>
        <v/>
      </c>
      <c r="M240" s="24">
        <f>IF($A240="","",IFERROR(ABS(N($D240))/N($C240),0))</f>
        <v/>
      </c>
      <c r="N240" s="24">
        <f>IF($A240="","",IFERROR(N($E240)/N($C240),0))</f>
        <v/>
      </c>
      <c r="O240" s="23">
        <f>IF($A240="",0,IFERROR(SUMPRODUCT(($A$8:$A$307=$A240)*($P$8:$P$307="FAIL")*($U$8:$U$307&gt;$V240)*($U$8:$U$307&lt;=$U240)),0))</f>
        <v/>
      </c>
      <c r="P240" s="23">
        <f>IF($A240="","",IFERROR(IF(NOT(ISNUMBER($K240)),"CHECK",IF($L240="MARGIN",IF($N240&lt;=$K240,"PASS","FAIL"),IF($M240&lt;=$K240,"PASS","FAIL"))),"CHECK"))</f>
        <v/>
      </c>
      <c r="Q240" s="23">
        <f>IF($A240="","",IFERROR(INDEX('Ref_Tolerance'!$E$2:$E$9,MATCH($J240,'Ref_Tolerance'!$A$2:$A$9,0)),""))</f>
        <v/>
      </c>
      <c r="R240" s="23">
        <f>IF($A240="","",IFERROR(IF($O240=0,"CLEAR",IF($O240=1,"MFR DUE - MANAGER",IF($O240=2,"MFR DUE - FSS/CC SIGNATURE REQUIRED","INVESTIGATION + REPORT OF SURVEY; MSG/CC NOTIFIED"))),""))</f>
        <v/>
      </c>
      <c r="S240" s="23">
        <f>IF($A240="","",IF($O240=2,"WATCH - ONE MORE MISS TRIGGERS INVESTIGATION",""))</f>
        <v/>
      </c>
      <c r="T240" s="23">
        <f>IF($A240="","",IFERROR(IF(AND($O240&gt;=1,$F240&lt;&gt;"Y"),"MFR NOT SUBMITTED",IF(AND($O240&gt;=2,$G240&lt;&gt;"Y"),"FSS/CC SIGNATURE MISSING",IF(AND($O240&gt;=3,$H240&lt;&gt;"Y"),"INVESTIGATION NOT OPENED",""))),""))</f>
        <v/>
      </c>
      <c r="U240" s="25">
        <f>IF($A240="",0,IFERROR(MATCH($B240,'Ref_Calendar'!$A$2:$A$500,0),0))</f>
        <v/>
      </c>
      <c r="V240" s="25">
        <f>IF($A240="",0,IFERROR(SUMPRODUCT(MAX(($A$8:$A$307=$A240)*($P$8:$P$307="PASS")*($U$8:$U$307&lt;=$U240)*$U$8:$U$307)),0))</f>
        <v/>
      </c>
      <c r="W240" s="25">
        <f>IF($A240="","",IFERROR(INDEX('Ref_Crosswalk'!$E$2:$E$500,MATCH($A240,'Ref_Crosswalk'!$A$2:$A$500,0)),""))</f>
        <v/>
      </c>
      <c r="X240" s="25">
        <f>IF($A240="","",IFERROR(INDEX('Ref_Crosswalk'!$C$2:$C$500,MATCH($A240,'Ref_Crosswalk'!$A$2:$A$500,0)),""))</f>
        <v/>
      </c>
      <c r="Y240" s="25">
        <f>IF($A240="",0,IF(AND(OR('Out_Dashboard'!$C$5="",$W240='Out_Dashboard'!$C$5),OR('Out_Dashboard'!$C$6="",$X240='Out_Dashboard'!$C$6),OR('Out_Dashboard'!$C$7="",$B240='Out_Dashboard'!$C$7)),1,0))</f>
        <v/>
      </c>
      <c r="Z240" s="25">
        <f>IF(AND($A240&lt;&gt;"",$S240&lt;&gt;"",$Y240=1),SUMPRODUCT(($A$8:$A240&lt;&gt;"")*($S$8:$S240&lt;&gt;"")*($Y$8:$Y240=1)),"")</f>
        <v/>
      </c>
      <c r="AA240" s="25">
        <f>IF(AND($A240&lt;&gt;"",$T240&lt;&gt;"",$Y240=1),SUMPRODUCT(($A$8:$A240&lt;&gt;"")*($T$8:$T240&lt;&gt;"")*($Y$8:$Y240=1)),"")</f>
        <v/>
      </c>
    </row>
    <row r="241">
      <c r="A241" s="13" t="n"/>
      <c r="B241" s="13" t="n"/>
      <c r="C241" s="26" t="n"/>
      <c r="D241" s="26" t="n"/>
      <c r="E241" s="26" t="n"/>
      <c r="F241" s="13" t="n"/>
      <c r="G241" s="13" t="n"/>
      <c r="H241" s="13" t="n"/>
      <c r="I241" s="13" t="n"/>
      <c r="J241" s="23">
        <f>IF($A241="","",IFERROR(INDEX('Ref_Crosswalk'!$F$2:$F$500,MATCH($A241,'Ref_Crosswalk'!$A$2:$A$500,0)),"UNKNOWN"))</f>
        <v/>
      </c>
      <c r="K241" s="24">
        <f>IF($A241="","",IFERROR(INDEX('Ref_Tolerance'!$B$2:$B$9,MATCH($J241,'Ref_Tolerance'!$A$2:$A$9,0)),""))</f>
        <v/>
      </c>
      <c r="L241" s="23">
        <f>IF($A241="","",IFERROR(INDEX('Ref_Tolerance'!$D$2:$D$9,MATCH($J241,'Ref_Tolerance'!$A$2:$A$9,0)),""))</f>
        <v/>
      </c>
      <c r="M241" s="24">
        <f>IF($A241="","",IFERROR(ABS(N($D241))/N($C241),0))</f>
        <v/>
      </c>
      <c r="N241" s="24">
        <f>IF($A241="","",IFERROR(N($E241)/N($C241),0))</f>
        <v/>
      </c>
      <c r="O241" s="23">
        <f>IF($A241="",0,IFERROR(SUMPRODUCT(($A$8:$A$307=$A241)*($P$8:$P$307="FAIL")*($U$8:$U$307&gt;$V241)*($U$8:$U$307&lt;=$U241)),0))</f>
        <v/>
      </c>
      <c r="P241" s="23">
        <f>IF($A241="","",IFERROR(IF(NOT(ISNUMBER($K241)),"CHECK",IF($L241="MARGIN",IF($N241&lt;=$K241,"PASS","FAIL"),IF($M241&lt;=$K241,"PASS","FAIL"))),"CHECK"))</f>
        <v/>
      </c>
      <c r="Q241" s="23">
        <f>IF($A241="","",IFERROR(INDEX('Ref_Tolerance'!$E$2:$E$9,MATCH($J241,'Ref_Tolerance'!$A$2:$A$9,0)),""))</f>
        <v/>
      </c>
      <c r="R241" s="23">
        <f>IF($A241="","",IFERROR(IF($O241=0,"CLEAR",IF($O241=1,"MFR DUE - MANAGER",IF($O241=2,"MFR DUE - FSS/CC SIGNATURE REQUIRED","INVESTIGATION + REPORT OF SURVEY; MSG/CC NOTIFIED"))),""))</f>
        <v/>
      </c>
      <c r="S241" s="23">
        <f>IF($A241="","",IF($O241=2,"WATCH - ONE MORE MISS TRIGGERS INVESTIGATION",""))</f>
        <v/>
      </c>
      <c r="T241" s="23">
        <f>IF($A241="","",IFERROR(IF(AND($O241&gt;=1,$F241&lt;&gt;"Y"),"MFR NOT SUBMITTED",IF(AND($O241&gt;=2,$G241&lt;&gt;"Y"),"FSS/CC SIGNATURE MISSING",IF(AND($O241&gt;=3,$H241&lt;&gt;"Y"),"INVESTIGATION NOT OPENED",""))),""))</f>
        <v/>
      </c>
      <c r="U241" s="25">
        <f>IF($A241="",0,IFERROR(MATCH($B241,'Ref_Calendar'!$A$2:$A$500,0),0))</f>
        <v/>
      </c>
      <c r="V241" s="25">
        <f>IF($A241="",0,IFERROR(SUMPRODUCT(MAX(($A$8:$A$307=$A241)*($P$8:$P$307="PASS")*($U$8:$U$307&lt;=$U241)*$U$8:$U$307)),0))</f>
        <v/>
      </c>
      <c r="W241" s="25">
        <f>IF($A241="","",IFERROR(INDEX('Ref_Crosswalk'!$E$2:$E$500,MATCH($A241,'Ref_Crosswalk'!$A$2:$A$500,0)),""))</f>
        <v/>
      </c>
      <c r="X241" s="25">
        <f>IF($A241="","",IFERROR(INDEX('Ref_Crosswalk'!$C$2:$C$500,MATCH($A241,'Ref_Crosswalk'!$A$2:$A$500,0)),""))</f>
        <v/>
      </c>
      <c r="Y241" s="25">
        <f>IF($A241="",0,IF(AND(OR('Out_Dashboard'!$C$5="",$W241='Out_Dashboard'!$C$5),OR('Out_Dashboard'!$C$6="",$X241='Out_Dashboard'!$C$6),OR('Out_Dashboard'!$C$7="",$B241='Out_Dashboard'!$C$7)),1,0))</f>
        <v/>
      </c>
      <c r="Z241" s="25">
        <f>IF(AND($A241&lt;&gt;"",$S241&lt;&gt;"",$Y241=1),SUMPRODUCT(($A$8:$A241&lt;&gt;"")*($S$8:$S241&lt;&gt;"")*($Y$8:$Y241=1)),"")</f>
        <v/>
      </c>
      <c r="AA241" s="25">
        <f>IF(AND($A241&lt;&gt;"",$T241&lt;&gt;"",$Y241=1),SUMPRODUCT(($A$8:$A241&lt;&gt;"")*($T$8:$T241&lt;&gt;"")*($Y$8:$Y241=1)),"")</f>
        <v/>
      </c>
    </row>
    <row r="242">
      <c r="A242" s="13" t="n"/>
      <c r="B242" s="13" t="n"/>
      <c r="C242" s="26" t="n"/>
      <c r="D242" s="26" t="n"/>
      <c r="E242" s="26" t="n"/>
      <c r="F242" s="13" t="n"/>
      <c r="G242" s="13" t="n"/>
      <c r="H242" s="13" t="n"/>
      <c r="I242" s="13" t="n"/>
      <c r="J242" s="23">
        <f>IF($A242="","",IFERROR(INDEX('Ref_Crosswalk'!$F$2:$F$500,MATCH($A242,'Ref_Crosswalk'!$A$2:$A$500,0)),"UNKNOWN"))</f>
        <v/>
      </c>
      <c r="K242" s="24">
        <f>IF($A242="","",IFERROR(INDEX('Ref_Tolerance'!$B$2:$B$9,MATCH($J242,'Ref_Tolerance'!$A$2:$A$9,0)),""))</f>
        <v/>
      </c>
      <c r="L242" s="23">
        <f>IF($A242="","",IFERROR(INDEX('Ref_Tolerance'!$D$2:$D$9,MATCH($J242,'Ref_Tolerance'!$A$2:$A$9,0)),""))</f>
        <v/>
      </c>
      <c r="M242" s="24">
        <f>IF($A242="","",IFERROR(ABS(N($D242))/N($C242),0))</f>
        <v/>
      </c>
      <c r="N242" s="24">
        <f>IF($A242="","",IFERROR(N($E242)/N($C242),0))</f>
        <v/>
      </c>
      <c r="O242" s="23">
        <f>IF($A242="",0,IFERROR(SUMPRODUCT(($A$8:$A$307=$A242)*($P$8:$P$307="FAIL")*($U$8:$U$307&gt;$V242)*($U$8:$U$307&lt;=$U242)),0))</f>
        <v/>
      </c>
      <c r="P242" s="23">
        <f>IF($A242="","",IFERROR(IF(NOT(ISNUMBER($K242)),"CHECK",IF($L242="MARGIN",IF($N242&lt;=$K242,"PASS","FAIL"),IF($M242&lt;=$K242,"PASS","FAIL"))),"CHECK"))</f>
        <v/>
      </c>
      <c r="Q242" s="23">
        <f>IF($A242="","",IFERROR(INDEX('Ref_Tolerance'!$E$2:$E$9,MATCH($J242,'Ref_Tolerance'!$A$2:$A$9,0)),""))</f>
        <v/>
      </c>
      <c r="R242" s="23">
        <f>IF($A242="","",IFERROR(IF($O242=0,"CLEAR",IF($O242=1,"MFR DUE - MANAGER",IF($O242=2,"MFR DUE - FSS/CC SIGNATURE REQUIRED","INVESTIGATION + REPORT OF SURVEY; MSG/CC NOTIFIED"))),""))</f>
        <v/>
      </c>
      <c r="S242" s="23">
        <f>IF($A242="","",IF($O242=2,"WATCH - ONE MORE MISS TRIGGERS INVESTIGATION",""))</f>
        <v/>
      </c>
      <c r="T242" s="23">
        <f>IF($A242="","",IFERROR(IF(AND($O242&gt;=1,$F242&lt;&gt;"Y"),"MFR NOT SUBMITTED",IF(AND($O242&gt;=2,$G242&lt;&gt;"Y"),"FSS/CC SIGNATURE MISSING",IF(AND($O242&gt;=3,$H242&lt;&gt;"Y"),"INVESTIGATION NOT OPENED",""))),""))</f>
        <v/>
      </c>
      <c r="U242" s="25">
        <f>IF($A242="",0,IFERROR(MATCH($B242,'Ref_Calendar'!$A$2:$A$500,0),0))</f>
        <v/>
      </c>
      <c r="V242" s="25">
        <f>IF($A242="",0,IFERROR(SUMPRODUCT(MAX(($A$8:$A$307=$A242)*($P$8:$P$307="PASS")*($U$8:$U$307&lt;=$U242)*$U$8:$U$307)),0))</f>
        <v/>
      </c>
      <c r="W242" s="25">
        <f>IF($A242="","",IFERROR(INDEX('Ref_Crosswalk'!$E$2:$E$500,MATCH($A242,'Ref_Crosswalk'!$A$2:$A$500,0)),""))</f>
        <v/>
      </c>
      <c r="X242" s="25">
        <f>IF($A242="","",IFERROR(INDEX('Ref_Crosswalk'!$C$2:$C$500,MATCH($A242,'Ref_Crosswalk'!$A$2:$A$500,0)),""))</f>
        <v/>
      </c>
      <c r="Y242" s="25">
        <f>IF($A242="",0,IF(AND(OR('Out_Dashboard'!$C$5="",$W242='Out_Dashboard'!$C$5),OR('Out_Dashboard'!$C$6="",$X242='Out_Dashboard'!$C$6),OR('Out_Dashboard'!$C$7="",$B242='Out_Dashboard'!$C$7)),1,0))</f>
        <v/>
      </c>
      <c r="Z242" s="25">
        <f>IF(AND($A242&lt;&gt;"",$S242&lt;&gt;"",$Y242=1),SUMPRODUCT(($A$8:$A242&lt;&gt;"")*($S$8:$S242&lt;&gt;"")*($Y$8:$Y242=1)),"")</f>
        <v/>
      </c>
      <c r="AA242" s="25">
        <f>IF(AND($A242&lt;&gt;"",$T242&lt;&gt;"",$Y242=1),SUMPRODUCT(($A$8:$A242&lt;&gt;"")*($T$8:$T242&lt;&gt;"")*($Y$8:$Y242=1)),"")</f>
        <v/>
      </c>
    </row>
    <row r="243">
      <c r="A243" s="13" t="n"/>
      <c r="B243" s="13" t="n"/>
      <c r="C243" s="26" t="n"/>
      <c r="D243" s="26" t="n"/>
      <c r="E243" s="26" t="n"/>
      <c r="F243" s="13" t="n"/>
      <c r="G243" s="13" t="n"/>
      <c r="H243" s="13" t="n"/>
      <c r="I243" s="13" t="n"/>
      <c r="J243" s="23">
        <f>IF($A243="","",IFERROR(INDEX('Ref_Crosswalk'!$F$2:$F$500,MATCH($A243,'Ref_Crosswalk'!$A$2:$A$500,0)),"UNKNOWN"))</f>
        <v/>
      </c>
      <c r="K243" s="24">
        <f>IF($A243="","",IFERROR(INDEX('Ref_Tolerance'!$B$2:$B$9,MATCH($J243,'Ref_Tolerance'!$A$2:$A$9,0)),""))</f>
        <v/>
      </c>
      <c r="L243" s="23">
        <f>IF($A243="","",IFERROR(INDEX('Ref_Tolerance'!$D$2:$D$9,MATCH($J243,'Ref_Tolerance'!$A$2:$A$9,0)),""))</f>
        <v/>
      </c>
      <c r="M243" s="24">
        <f>IF($A243="","",IFERROR(ABS(N($D243))/N($C243),0))</f>
        <v/>
      </c>
      <c r="N243" s="24">
        <f>IF($A243="","",IFERROR(N($E243)/N($C243),0))</f>
        <v/>
      </c>
      <c r="O243" s="23">
        <f>IF($A243="",0,IFERROR(SUMPRODUCT(($A$8:$A$307=$A243)*($P$8:$P$307="FAIL")*($U$8:$U$307&gt;$V243)*($U$8:$U$307&lt;=$U243)),0))</f>
        <v/>
      </c>
      <c r="P243" s="23">
        <f>IF($A243="","",IFERROR(IF(NOT(ISNUMBER($K243)),"CHECK",IF($L243="MARGIN",IF($N243&lt;=$K243,"PASS","FAIL"),IF($M243&lt;=$K243,"PASS","FAIL"))),"CHECK"))</f>
        <v/>
      </c>
      <c r="Q243" s="23">
        <f>IF($A243="","",IFERROR(INDEX('Ref_Tolerance'!$E$2:$E$9,MATCH($J243,'Ref_Tolerance'!$A$2:$A$9,0)),""))</f>
        <v/>
      </c>
      <c r="R243" s="23">
        <f>IF($A243="","",IFERROR(IF($O243=0,"CLEAR",IF($O243=1,"MFR DUE - MANAGER",IF($O243=2,"MFR DUE - FSS/CC SIGNATURE REQUIRED","INVESTIGATION + REPORT OF SURVEY; MSG/CC NOTIFIED"))),""))</f>
        <v/>
      </c>
      <c r="S243" s="23">
        <f>IF($A243="","",IF($O243=2,"WATCH - ONE MORE MISS TRIGGERS INVESTIGATION",""))</f>
        <v/>
      </c>
      <c r="T243" s="23">
        <f>IF($A243="","",IFERROR(IF(AND($O243&gt;=1,$F243&lt;&gt;"Y"),"MFR NOT SUBMITTED",IF(AND($O243&gt;=2,$G243&lt;&gt;"Y"),"FSS/CC SIGNATURE MISSING",IF(AND($O243&gt;=3,$H243&lt;&gt;"Y"),"INVESTIGATION NOT OPENED",""))),""))</f>
        <v/>
      </c>
      <c r="U243" s="25">
        <f>IF($A243="",0,IFERROR(MATCH($B243,'Ref_Calendar'!$A$2:$A$500,0),0))</f>
        <v/>
      </c>
      <c r="V243" s="25">
        <f>IF($A243="",0,IFERROR(SUMPRODUCT(MAX(($A$8:$A$307=$A243)*($P$8:$P$307="PASS")*($U$8:$U$307&lt;=$U243)*$U$8:$U$307)),0))</f>
        <v/>
      </c>
      <c r="W243" s="25">
        <f>IF($A243="","",IFERROR(INDEX('Ref_Crosswalk'!$E$2:$E$500,MATCH($A243,'Ref_Crosswalk'!$A$2:$A$500,0)),""))</f>
        <v/>
      </c>
      <c r="X243" s="25">
        <f>IF($A243="","",IFERROR(INDEX('Ref_Crosswalk'!$C$2:$C$500,MATCH($A243,'Ref_Crosswalk'!$A$2:$A$500,0)),""))</f>
        <v/>
      </c>
      <c r="Y243" s="25">
        <f>IF($A243="",0,IF(AND(OR('Out_Dashboard'!$C$5="",$W243='Out_Dashboard'!$C$5),OR('Out_Dashboard'!$C$6="",$X243='Out_Dashboard'!$C$6),OR('Out_Dashboard'!$C$7="",$B243='Out_Dashboard'!$C$7)),1,0))</f>
        <v/>
      </c>
      <c r="Z243" s="25">
        <f>IF(AND($A243&lt;&gt;"",$S243&lt;&gt;"",$Y243=1),SUMPRODUCT(($A$8:$A243&lt;&gt;"")*($S$8:$S243&lt;&gt;"")*($Y$8:$Y243=1)),"")</f>
        <v/>
      </c>
      <c r="AA243" s="25">
        <f>IF(AND($A243&lt;&gt;"",$T243&lt;&gt;"",$Y243=1),SUMPRODUCT(($A$8:$A243&lt;&gt;"")*($T$8:$T243&lt;&gt;"")*($Y$8:$Y243=1)),"")</f>
        <v/>
      </c>
    </row>
    <row r="244">
      <c r="A244" s="13" t="n"/>
      <c r="B244" s="13" t="n"/>
      <c r="C244" s="26" t="n"/>
      <c r="D244" s="26" t="n"/>
      <c r="E244" s="26" t="n"/>
      <c r="F244" s="13" t="n"/>
      <c r="G244" s="13" t="n"/>
      <c r="H244" s="13" t="n"/>
      <c r="I244" s="13" t="n"/>
      <c r="J244" s="23">
        <f>IF($A244="","",IFERROR(INDEX('Ref_Crosswalk'!$F$2:$F$500,MATCH($A244,'Ref_Crosswalk'!$A$2:$A$500,0)),"UNKNOWN"))</f>
        <v/>
      </c>
      <c r="K244" s="24">
        <f>IF($A244="","",IFERROR(INDEX('Ref_Tolerance'!$B$2:$B$9,MATCH($J244,'Ref_Tolerance'!$A$2:$A$9,0)),""))</f>
        <v/>
      </c>
      <c r="L244" s="23">
        <f>IF($A244="","",IFERROR(INDEX('Ref_Tolerance'!$D$2:$D$9,MATCH($J244,'Ref_Tolerance'!$A$2:$A$9,0)),""))</f>
        <v/>
      </c>
      <c r="M244" s="24">
        <f>IF($A244="","",IFERROR(ABS(N($D244))/N($C244),0))</f>
        <v/>
      </c>
      <c r="N244" s="24">
        <f>IF($A244="","",IFERROR(N($E244)/N($C244),0))</f>
        <v/>
      </c>
      <c r="O244" s="23">
        <f>IF($A244="",0,IFERROR(SUMPRODUCT(($A$8:$A$307=$A244)*($P$8:$P$307="FAIL")*($U$8:$U$307&gt;$V244)*($U$8:$U$307&lt;=$U244)),0))</f>
        <v/>
      </c>
      <c r="P244" s="23">
        <f>IF($A244="","",IFERROR(IF(NOT(ISNUMBER($K244)),"CHECK",IF($L244="MARGIN",IF($N244&lt;=$K244,"PASS","FAIL"),IF($M244&lt;=$K244,"PASS","FAIL"))),"CHECK"))</f>
        <v/>
      </c>
      <c r="Q244" s="23">
        <f>IF($A244="","",IFERROR(INDEX('Ref_Tolerance'!$E$2:$E$9,MATCH($J244,'Ref_Tolerance'!$A$2:$A$9,0)),""))</f>
        <v/>
      </c>
      <c r="R244" s="23">
        <f>IF($A244="","",IFERROR(IF($O244=0,"CLEAR",IF($O244=1,"MFR DUE - MANAGER",IF($O244=2,"MFR DUE - FSS/CC SIGNATURE REQUIRED","INVESTIGATION + REPORT OF SURVEY; MSG/CC NOTIFIED"))),""))</f>
        <v/>
      </c>
      <c r="S244" s="23">
        <f>IF($A244="","",IF($O244=2,"WATCH - ONE MORE MISS TRIGGERS INVESTIGATION",""))</f>
        <v/>
      </c>
      <c r="T244" s="23">
        <f>IF($A244="","",IFERROR(IF(AND($O244&gt;=1,$F244&lt;&gt;"Y"),"MFR NOT SUBMITTED",IF(AND($O244&gt;=2,$G244&lt;&gt;"Y"),"FSS/CC SIGNATURE MISSING",IF(AND($O244&gt;=3,$H244&lt;&gt;"Y"),"INVESTIGATION NOT OPENED",""))),""))</f>
        <v/>
      </c>
      <c r="U244" s="25">
        <f>IF($A244="",0,IFERROR(MATCH($B244,'Ref_Calendar'!$A$2:$A$500,0),0))</f>
        <v/>
      </c>
      <c r="V244" s="25">
        <f>IF($A244="",0,IFERROR(SUMPRODUCT(MAX(($A$8:$A$307=$A244)*($P$8:$P$307="PASS")*($U$8:$U$307&lt;=$U244)*$U$8:$U$307)),0))</f>
        <v/>
      </c>
      <c r="W244" s="25">
        <f>IF($A244="","",IFERROR(INDEX('Ref_Crosswalk'!$E$2:$E$500,MATCH($A244,'Ref_Crosswalk'!$A$2:$A$500,0)),""))</f>
        <v/>
      </c>
      <c r="X244" s="25">
        <f>IF($A244="","",IFERROR(INDEX('Ref_Crosswalk'!$C$2:$C$500,MATCH($A244,'Ref_Crosswalk'!$A$2:$A$500,0)),""))</f>
        <v/>
      </c>
      <c r="Y244" s="25">
        <f>IF($A244="",0,IF(AND(OR('Out_Dashboard'!$C$5="",$W244='Out_Dashboard'!$C$5),OR('Out_Dashboard'!$C$6="",$X244='Out_Dashboard'!$C$6),OR('Out_Dashboard'!$C$7="",$B244='Out_Dashboard'!$C$7)),1,0))</f>
        <v/>
      </c>
      <c r="Z244" s="25">
        <f>IF(AND($A244&lt;&gt;"",$S244&lt;&gt;"",$Y244=1),SUMPRODUCT(($A$8:$A244&lt;&gt;"")*($S$8:$S244&lt;&gt;"")*($Y$8:$Y244=1)),"")</f>
        <v/>
      </c>
      <c r="AA244" s="25">
        <f>IF(AND($A244&lt;&gt;"",$T244&lt;&gt;"",$Y244=1),SUMPRODUCT(($A$8:$A244&lt;&gt;"")*($T$8:$T244&lt;&gt;"")*($Y$8:$Y244=1)),"")</f>
        <v/>
      </c>
    </row>
    <row r="245">
      <c r="A245" s="13" t="n"/>
      <c r="B245" s="13" t="n"/>
      <c r="C245" s="26" t="n"/>
      <c r="D245" s="26" t="n"/>
      <c r="E245" s="26" t="n"/>
      <c r="F245" s="13" t="n"/>
      <c r="G245" s="13" t="n"/>
      <c r="H245" s="13" t="n"/>
      <c r="I245" s="13" t="n"/>
      <c r="J245" s="23">
        <f>IF($A245="","",IFERROR(INDEX('Ref_Crosswalk'!$F$2:$F$500,MATCH($A245,'Ref_Crosswalk'!$A$2:$A$500,0)),"UNKNOWN"))</f>
        <v/>
      </c>
      <c r="K245" s="24">
        <f>IF($A245="","",IFERROR(INDEX('Ref_Tolerance'!$B$2:$B$9,MATCH($J245,'Ref_Tolerance'!$A$2:$A$9,0)),""))</f>
        <v/>
      </c>
      <c r="L245" s="23">
        <f>IF($A245="","",IFERROR(INDEX('Ref_Tolerance'!$D$2:$D$9,MATCH($J245,'Ref_Tolerance'!$A$2:$A$9,0)),""))</f>
        <v/>
      </c>
      <c r="M245" s="24">
        <f>IF($A245="","",IFERROR(ABS(N($D245))/N($C245),0))</f>
        <v/>
      </c>
      <c r="N245" s="24">
        <f>IF($A245="","",IFERROR(N($E245)/N($C245),0))</f>
        <v/>
      </c>
      <c r="O245" s="23">
        <f>IF($A245="",0,IFERROR(SUMPRODUCT(($A$8:$A$307=$A245)*($P$8:$P$307="FAIL")*($U$8:$U$307&gt;$V245)*($U$8:$U$307&lt;=$U245)),0))</f>
        <v/>
      </c>
      <c r="P245" s="23">
        <f>IF($A245="","",IFERROR(IF(NOT(ISNUMBER($K245)),"CHECK",IF($L245="MARGIN",IF($N245&lt;=$K245,"PASS","FAIL"),IF($M245&lt;=$K245,"PASS","FAIL"))),"CHECK"))</f>
        <v/>
      </c>
      <c r="Q245" s="23">
        <f>IF($A245="","",IFERROR(INDEX('Ref_Tolerance'!$E$2:$E$9,MATCH($J245,'Ref_Tolerance'!$A$2:$A$9,0)),""))</f>
        <v/>
      </c>
      <c r="R245" s="23">
        <f>IF($A245="","",IFERROR(IF($O245=0,"CLEAR",IF($O245=1,"MFR DUE - MANAGER",IF($O245=2,"MFR DUE - FSS/CC SIGNATURE REQUIRED","INVESTIGATION + REPORT OF SURVEY; MSG/CC NOTIFIED"))),""))</f>
        <v/>
      </c>
      <c r="S245" s="23">
        <f>IF($A245="","",IF($O245=2,"WATCH - ONE MORE MISS TRIGGERS INVESTIGATION",""))</f>
        <v/>
      </c>
      <c r="T245" s="23">
        <f>IF($A245="","",IFERROR(IF(AND($O245&gt;=1,$F245&lt;&gt;"Y"),"MFR NOT SUBMITTED",IF(AND($O245&gt;=2,$G245&lt;&gt;"Y"),"FSS/CC SIGNATURE MISSING",IF(AND($O245&gt;=3,$H245&lt;&gt;"Y"),"INVESTIGATION NOT OPENED",""))),""))</f>
        <v/>
      </c>
      <c r="U245" s="25">
        <f>IF($A245="",0,IFERROR(MATCH($B245,'Ref_Calendar'!$A$2:$A$500,0),0))</f>
        <v/>
      </c>
      <c r="V245" s="25">
        <f>IF($A245="",0,IFERROR(SUMPRODUCT(MAX(($A$8:$A$307=$A245)*($P$8:$P$307="PASS")*($U$8:$U$307&lt;=$U245)*$U$8:$U$307)),0))</f>
        <v/>
      </c>
      <c r="W245" s="25">
        <f>IF($A245="","",IFERROR(INDEX('Ref_Crosswalk'!$E$2:$E$500,MATCH($A245,'Ref_Crosswalk'!$A$2:$A$500,0)),""))</f>
        <v/>
      </c>
      <c r="X245" s="25">
        <f>IF($A245="","",IFERROR(INDEX('Ref_Crosswalk'!$C$2:$C$500,MATCH($A245,'Ref_Crosswalk'!$A$2:$A$500,0)),""))</f>
        <v/>
      </c>
      <c r="Y245" s="25">
        <f>IF($A245="",0,IF(AND(OR('Out_Dashboard'!$C$5="",$W245='Out_Dashboard'!$C$5),OR('Out_Dashboard'!$C$6="",$X245='Out_Dashboard'!$C$6),OR('Out_Dashboard'!$C$7="",$B245='Out_Dashboard'!$C$7)),1,0))</f>
        <v/>
      </c>
      <c r="Z245" s="25">
        <f>IF(AND($A245&lt;&gt;"",$S245&lt;&gt;"",$Y245=1),SUMPRODUCT(($A$8:$A245&lt;&gt;"")*($S$8:$S245&lt;&gt;"")*($Y$8:$Y245=1)),"")</f>
        <v/>
      </c>
      <c r="AA245" s="25">
        <f>IF(AND($A245&lt;&gt;"",$T245&lt;&gt;"",$Y245=1),SUMPRODUCT(($A$8:$A245&lt;&gt;"")*($T$8:$T245&lt;&gt;"")*($Y$8:$Y245=1)),"")</f>
        <v/>
      </c>
    </row>
    <row r="246">
      <c r="A246" s="13" t="n"/>
      <c r="B246" s="13" t="n"/>
      <c r="C246" s="26" t="n"/>
      <c r="D246" s="26" t="n"/>
      <c r="E246" s="26" t="n"/>
      <c r="F246" s="13" t="n"/>
      <c r="G246" s="13" t="n"/>
      <c r="H246" s="13" t="n"/>
      <c r="I246" s="13" t="n"/>
      <c r="J246" s="23">
        <f>IF($A246="","",IFERROR(INDEX('Ref_Crosswalk'!$F$2:$F$500,MATCH($A246,'Ref_Crosswalk'!$A$2:$A$500,0)),"UNKNOWN"))</f>
        <v/>
      </c>
      <c r="K246" s="24">
        <f>IF($A246="","",IFERROR(INDEX('Ref_Tolerance'!$B$2:$B$9,MATCH($J246,'Ref_Tolerance'!$A$2:$A$9,0)),""))</f>
        <v/>
      </c>
      <c r="L246" s="23">
        <f>IF($A246="","",IFERROR(INDEX('Ref_Tolerance'!$D$2:$D$9,MATCH($J246,'Ref_Tolerance'!$A$2:$A$9,0)),""))</f>
        <v/>
      </c>
      <c r="M246" s="24">
        <f>IF($A246="","",IFERROR(ABS(N($D246))/N($C246),0))</f>
        <v/>
      </c>
      <c r="N246" s="24">
        <f>IF($A246="","",IFERROR(N($E246)/N($C246),0))</f>
        <v/>
      </c>
      <c r="O246" s="23">
        <f>IF($A246="",0,IFERROR(SUMPRODUCT(($A$8:$A$307=$A246)*($P$8:$P$307="FAIL")*($U$8:$U$307&gt;$V246)*($U$8:$U$307&lt;=$U246)),0))</f>
        <v/>
      </c>
      <c r="P246" s="23">
        <f>IF($A246="","",IFERROR(IF(NOT(ISNUMBER($K246)),"CHECK",IF($L246="MARGIN",IF($N246&lt;=$K246,"PASS","FAIL"),IF($M246&lt;=$K246,"PASS","FAIL"))),"CHECK"))</f>
        <v/>
      </c>
      <c r="Q246" s="23">
        <f>IF($A246="","",IFERROR(INDEX('Ref_Tolerance'!$E$2:$E$9,MATCH($J246,'Ref_Tolerance'!$A$2:$A$9,0)),""))</f>
        <v/>
      </c>
      <c r="R246" s="23">
        <f>IF($A246="","",IFERROR(IF($O246=0,"CLEAR",IF($O246=1,"MFR DUE - MANAGER",IF($O246=2,"MFR DUE - FSS/CC SIGNATURE REQUIRED","INVESTIGATION + REPORT OF SURVEY; MSG/CC NOTIFIED"))),""))</f>
        <v/>
      </c>
      <c r="S246" s="23">
        <f>IF($A246="","",IF($O246=2,"WATCH - ONE MORE MISS TRIGGERS INVESTIGATION",""))</f>
        <v/>
      </c>
      <c r="T246" s="23">
        <f>IF($A246="","",IFERROR(IF(AND($O246&gt;=1,$F246&lt;&gt;"Y"),"MFR NOT SUBMITTED",IF(AND($O246&gt;=2,$G246&lt;&gt;"Y"),"FSS/CC SIGNATURE MISSING",IF(AND($O246&gt;=3,$H246&lt;&gt;"Y"),"INVESTIGATION NOT OPENED",""))),""))</f>
        <v/>
      </c>
      <c r="U246" s="25">
        <f>IF($A246="",0,IFERROR(MATCH($B246,'Ref_Calendar'!$A$2:$A$500,0),0))</f>
        <v/>
      </c>
      <c r="V246" s="25">
        <f>IF($A246="",0,IFERROR(SUMPRODUCT(MAX(($A$8:$A$307=$A246)*($P$8:$P$307="PASS")*($U$8:$U$307&lt;=$U246)*$U$8:$U$307)),0))</f>
        <v/>
      </c>
      <c r="W246" s="25">
        <f>IF($A246="","",IFERROR(INDEX('Ref_Crosswalk'!$E$2:$E$500,MATCH($A246,'Ref_Crosswalk'!$A$2:$A$500,0)),""))</f>
        <v/>
      </c>
      <c r="X246" s="25">
        <f>IF($A246="","",IFERROR(INDEX('Ref_Crosswalk'!$C$2:$C$500,MATCH($A246,'Ref_Crosswalk'!$A$2:$A$500,0)),""))</f>
        <v/>
      </c>
      <c r="Y246" s="25">
        <f>IF($A246="",0,IF(AND(OR('Out_Dashboard'!$C$5="",$W246='Out_Dashboard'!$C$5),OR('Out_Dashboard'!$C$6="",$X246='Out_Dashboard'!$C$6),OR('Out_Dashboard'!$C$7="",$B246='Out_Dashboard'!$C$7)),1,0))</f>
        <v/>
      </c>
      <c r="Z246" s="25">
        <f>IF(AND($A246&lt;&gt;"",$S246&lt;&gt;"",$Y246=1),SUMPRODUCT(($A$8:$A246&lt;&gt;"")*($S$8:$S246&lt;&gt;"")*($Y$8:$Y246=1)),"")</f>
        <v/>
      </c>
      <c r="AA246" s="25">
        <f>IF(AND($A246&lt;&gt;"",$T246&lt;&gt;"",$Y246=1),SUMPRODUCT(($A$8:$A246&lt;&gt;"")*($T$8:$T246&lt;&gt;"")*($Y$8:$Y246=1)),"")</f>
        <v/>
      </c>
    </row>
    <row r="247">
      <c r="A247" s="13" t="n"/>
      <c r="B247" s="13" t="n"/>
      <c r="C247" s="26" t="n"/>
      <c r="D247" s="26" t="n"/>
      <c r="E247" s="26" t="n"/>
      <c r="F247" s="13" t="n"/>
      <c r="G247" s="13" t="n"/>
      <c r="H247" s="13" t="n"/>
      <c r="I247" s="13" t="n"/>
      <c r="J247" s="23">
        <f>IF($A247="","",IFERROR(INDEX('Ref_Crosswalk'!$F$2:$F$500,MATCH($A247,'Ref_Crosswalk'!$A$2:$A$500,0)),"UNKNOWN"))</f>
        <v/>
      </c>
      <c r="K247" s="24">
        <f>IF($A247="","",IFERROR(INDEX('Ref_Tolerance'!$B$2:$B$9,MATCH($J247,'Ref_Tolerance'!$A$2:$A$9,0)),""))</f>
        <v/>
      </c>
      <c r="L247" s="23">
        <f>IF($A247="","",IFERROR(INDEX('Ref_Tolerance'!$D$2:$D$9,MATCH($J247,'Ref_Tolerance'!$A$2:$A$9,0)),""))</f>
        <v/>
      </c>
      <c r="M247" s="24">
        <f>IF($A247="","",IFERROR(ABS(N($D247))/N($C247),0))</f>
        <v/>
      </c>
      <c r="N247" s="24">
        <f>IF($A247="","",IFERROR(N($E247)/N($C247),0))</f>
        <v/>
      </c>
      <c r="O247" s="23">
        <f>IF($A247="",0,IFERROR(SUMPRODUCT(($A$8:$A$307=$A247)*($P$8:$P$307="FAIL")*($U$8:$U$307&gt;$V247)*($U$8:$U$307&lt;=$U247)),0))</f>
        <v/>
      </c>
      <c r="P247" s="23">
        <f>IF($A247="","",IFERROR(IF(NOT(ISNUMBER($K247)),"CHECK",IF($L247="MARGIN",IF($N247&lt;=$K247,"PASS","FAIL"),IF($M247&lt;=$K247,"PASS","FAIL"))),"CHECK"))</f>
        <v/>
      </c>
      <c r="Q247" s="23">
        <f>IF($A247="","",IFERROR(INDEX('Ref_Tolerance'!$E$2:$E$9,MATCH($J247,'Ref_Tolerance'!$A$2:$A$9,0)),""))</f>
        <v/>
      </c>
      <c r="R247" s="23">
        <f>IF($A247="","",IFERROR(IF($O247=0,"CLEAR",IF($O247=1,"MFR DUE - MANAGER",IF($O247=2,"MFR DUE - FSS/CC SIGNATURE REQUIRED","INVESTIGATION + REPORT OF SURVEY; MSG/CC NOTIFIED"))),""))</f>
        <v/>
      </c>
      <c r="S247" s="23">
        <f>IF($A247="","",IF($O247=2,"WATCH - ONE MORE MISS TRIGGERS INVESTIGATION",""))</f>
        <v/>
      </c>
      <c r="T247" s="23">
        <f>IF($A247="","",IFERROR(IF(AND($O247&gt;=1,$F247&lt;&gt;"Y"),"MFR NOT SUBMITTED",IF(AND($O247&gt;=2,$G247&lt;&gt;"Y"),"FSS/CC SIGNATURE MISSING",IF(AND($O247&gt;=3,$H247&lt;&gt;"Y"),"INVESTIGATION NOT OPENED",""))),""))</f>
        <v/>
      </c>
      <c r="U247" s="25">
        <f>IF($A247="",0,IFERROR(MATCH($B247,'Ref_Calendar'!$A$2:$A$500,0),0))</f>
        <v/>
      </c>
      <c r="V247" s="25">
        <f>IF($A247="",0,IFERROR(SUMPRODUCT(MAX(($A$8:$A$307=$A247)*($P$8:$P$307="PASS")*($U$8:$U$307&lt;=$U247)*$U$8:$U$307)),0))</f>
        <v/>
      </c>
      <c r="W247" s="25">
        <f>IF($A247="","",IFERROR(INDEX('Ref_Crosswalk'!$E$2:$E$500,MATCH($A247,'Ref_Crosswalk'!$A$2:$A$500,0)),""))</f>
        <v/>
      </c>
      <c r="X247" s="25">
        <f>IF($A247="","",IFERROR(INDEX('Ref_Crosswalk'!$C$2:$C$500,MATCH($A247,'Ref_Crosswalk'!$A$2:$A$500,0)),""))</f>
        <v/>
      </c>
      <c r="Y247" s="25">
        <f>IF($A247="",0,IF(AND(OR('Out_Dashboard'!$C$5="",$W247='Out_Dashboard'!$C$5),OR('Out_Dashboard'!$C$6="",$X247='Out_Dashboard'!$C$6),OR('Out_Dashboard'!$C$7="",$B247='Out_Dashboard'!$C$7)),1,0))</f>
        <v/>
      </c>
      <c r="Z247" s="25">
        <f>IF(AND($A247&lt;&gt;"",$S247&lt;&gt;"",$Y247=1),SUMPRODUCT(($A$8:$A247&lt;&gt;"")*($S$8:$S247&lt;&gt;"")*($Y$8:$Y247=1)),"")</f>
        <v/>
      </c>
      <c r="AA247" s="25">
        <f>IF(AND($A247&lt;&gt;"",$T247&lt;&gt;"",$Y247=1),SUMPRODUCT(($A$8:$A247&lt;&gt;"")*($T$8:$T247&lt;&gt;"")*($Y$8:$Y247=1)),"")</f>
        <v/>
      </c>
    </row>
    <row r="248">
      <c r="A248" s="13" t="n"/>
      <c r="B248" s="13" t="n"/>
      <c r="C248" s="26" t="n"/>
      <c r="D248" s="26" t="n"/>
      <c r="E248" s="26" t="n"/>
      <c r="F248" s="13" t="n"/>
      <c r="G248" s="13" t="n"/>
      <c r="H248" s="13" t="n"/>
      <c r="I248" s="13" t="n"/>
      <c r="J248" s="23">
        <f>IF($A248="","",IFERROR(INDEX('Ref_Crosswalk'!$F$2:$F$500,MATCH($A248,'Ref_Crosswalk'!$A$2:$A$500,0)),"UNKNOWN"))</f>
        <v/>
      </c>
      <c r="K248" s="24">
        <f>IF($A248="","",IFERROR(INDEX('Ref_Tolerance'!$B$2:$B$9,MATCH($J248,'Ref_Tolerance'!$A$2:$A$9,0)),""))</f>
        <v/>
      </c>
      <c r="L248" s="23">
        <f>IF($A248="","",IFERROR(INDEX('Ref_Tolerance'!$D$2:$D$9,MATCH($J248,'Ref_Tolerance'!$A$2:$A$9,0)),""))</f>
        <v/>
      </c>
      <c r="M248" s="24">
        <f>IF($A248="","",IFERROR(ABS(N($D248))/N($C248),0))</f>
        <v/>
      </c>
      <c r="N248" s="24">
        <f>IF($A248="","",IFERROR(N($E248)/N($C248),0))</f>
        <v/>
      </c>
      <c r="O248" s="23">
        <f>IF($A248="",0,IFERROR(SUMPRODUCT(($A$8:$A$307=$A248)*($P$8:$P$307="FAIL")*($U$8:$U$307&gt;$V248)*($U$8:$U$307&lt;=$U248)),0))</f>
        <v/>
      </c>
      <c r="P248" s="23">
        <f>IF($A248="","",IFERROR(IF(NOT(ISNUMBER($K248)),"CHECK",IF($L248="MARGIN",IF($N248&lt;=$K248,"PASS","FAIL"),IF($M248&lt;=$K248,"PASS","FAIL"))),"CHECK"))</f>
        <v/>
      </c>
      <c r="Q248" s="23">
        <f>IF($A248="","",IFERROR(INDEX('Ref_Tolerance'!$E$2:$E$9,MATCH($J248,'Ref_Tolerance'!$A$2:$A$9,0)),""))</f>
        <v/>
      </c>
      <c r="R248" s="23">
        <f>IF($A248="","",IFERROR(IF($O248=0,"CLEAR",IF($O248=1,"MFR DUE - MANAGER",IF($O248=2,"MFR DUE - FSS/CC SIGNATURE REQUIRED","INVESTIGATION + REPORT OF SURVEY; MSG/CC NOTIFIED"))),""))</f>
        <v/>
      </c>
      <c r="S248" s="23">
        <f>IF($A248="","",IF($O248=2,"WATCH - ONE MORE MISS TRIGGERS INVESTIGATION",""))</f>
        <v/>
      </c>
      <c r="T248" s="23">
        <f>IF($A248="","",IFERROR(IF(AND($O248&gt;=1,$F248&lt;&gt;"Y"),"MFR NOT SUBMITTED",IF(AND($O248&gt;=2,$G248&lt;&gt;"Y"),"FSS/CC SIGNATURE MISSING",IF(AND($O248&gt;=3,$H248&lt;&gt;"Y"),"INVESTIGATION NOT OPENED",""))),""))</f>
        <v/>
      </c>
      <c r="U248" s="25">
        <f>IF($A248="",0,IFERROR(MATCH($B248,'Ref_Calendar'!$A$2:$A$500,0),0))</f>
        <v/>
      </c>
      <c r="V248" s="25">
        <f>IF($A248="",0,IFERROR(SUMPRODUCT(MAX(($A$8:$A$307=$A248)*($P$8:$P$307="PASS")*($U$8:$U$307&lt;=$U248)*$U$8:$U$307)),0))</f>
        <v/>
      </c>
      <c r="W248" s="25">
        <f>IF($A248="","",IFERROR(INDEX('Ref_Crosswalk'!$E$2:$E$500,MATCH($A248,'Ref_Crosswalk'!$A$2:$A$500,0)),""))</f>
        <v/>
      </c>
      <c r="X248" s="25">
        <f>IF($A248="","",IFERROR(INDEX('Ref_Crosswalk'!$C$2:$C$500,MATCH($A248,'Ref_Crosswalk'!$A$2:$A$500,0)),""))</f>
        <v/>
      </c>
      <c r="Y248" s="25">
        <f>IF($A248="",0,IF(AND(OR('Out_Dashboard'!$C$5="",$W248='Out_Dashboard'!$C$5),OR('Out_Dashboard'!$C$6="",$X248='Out_Dashboard'!$C$6),OR('Out_Dashboard'!$C$7="",$B248='Out_Dashboard'!$C$7)),1,0))</f>
        <v/>
      </c>
      <c r="Z248" s="25">
        <f>IF(AND($A248&lt;&gt;"",$S248&lt;&gt;"",$Y248=1),SUMPRODUCT(($A$8:$A248&lt;&gt;"")*($S$8:$S248&lt;&gt;"")*($Y$8:$Y248=1)),"")</f>
        <v/>
      </c>
      <c r="AA248" s="25">
        <f>IF(AND($A248&lt;&gt;"",$T248&lt;&gt;"",$Y248=1),SUMPRODUCT(($A$8:$A248&lt;&gt;"")*($T$8:$T248&lt;&gt;"")*($Y$8:$Y248=1)),"")</f>
        <v/>
      </c>
    </row>
    <row r="249">
      <c r="A249" s="13" t="n"/>
      <c r="B249" s="13" t="n"/>
      <c r="C249" s="26" t="n"/>
      <c r="D249" s="26" t="n"/>
      <c r="E249" s="26" t="n"/>
      <c r="F249" s="13" t="n"/>
      <c r="G249" s="13" t="n"/>
      <c r="H249" s="13" t="n"/>
      <c r="I249" s="13" t="n"/>
      <c r="J249" s="23">
        <f>IF($A249="","",IFERROR(INDEX('Ref_Crosswalk'!$F$2:$F$500,MATCH($A249,'Ref_Crosswalk'!$A$2:$A$500,0)),"UNKNOWN"))</f>
        <v/>
      </c>
      <c r="K249" s="24">
        <f>IF($A249="","",IFERROR(INDEX('Ref_Tolerance'!$B$2:$B$9,MATCH($J249,'Ref_Tolerance'!$A$2:$A$9,0)),""))</f>
        <v/>
      </c>
      <c r="L249" s="23">
        <f>IF($A249="","",IFERROR(INDEX('Ref_Tolerance'!$D$2:$D$9,MATCH($J249,'Ref_Tolerance'!$A$2:$A$9,0)),""))</f>
        <v/>
      </c>
      <c r="M249" s="24">
        <f>IF($A249="","",IFERROR(ABS(N($D249))/N($C249),0))</f>
        <v/>
      </c>
      <c r="N249" s="24">
        <f>IF($A249="","",IFERROR(N($E249)/N($C249),0))</f>
        <v/>
      </c>
      <c r="O249" s="23">
        <f>IF($A249="",0,IFERROR(SUMPRODUCT(($A$8:$A$307=$A249)*($P$8:$P$307="FAIL")*($U$8:$U$307&gt;$V249)*($U$8:$U$307&lt;=$U249)),0))</f>
        <v/>
      </c>
      <c r="P249" s="23">
        <f>IF($A249="","",IFERROR(IF(NOT(ISNUMBER($K249)),"CHECK",IF($L249="MARGIN",IF($N249&lt;=$K249,"PASS","FAIL"),IF($M249&lt;=$K249,"PASS","FAIL"))),"CHECK"))</f>
        <v/>
      </c>
      <c r="Q249" s="23">
        <f>IF($A249="","",IFERROR(INDEX('Ref_Tolerance'!$E$2:$E$9,MATCH($J249,'Ref_Tolerance'!$A$2:$A$9,0)),""))</f>
        <v/>
      </c>
      <c r="R249" s="23">
        <f>IF($A249="","",IFERROR(IF($O249=0,"CLEAR",IF($O249=1,"MFR DUE - MANAGER",IF($O249=2,"MFR DUE - FSS/CC SIGNATURE REQUIRED","INVESTIGATION + REPORT OF SURVEY; MSG/CC NOTIFIED"))),""))</f>
        <v/>
      </c>
      <c r="S249" s="23">
        <f>IF($A249="","",IF($O249=2,"WATCH - ONE MORE MISS TRIGGERS INVESTIGATION",""))</f>
        <v/>
      </c>
      <c r="T249" s="23">
        <f>IF($A249="","",IFERROR(IF(AND($O249&gt;=1,$F249&lt;&gt;"Y"),"MFR NOT SUBMITTED",IF(AND($O249&gt;=2,$G249&lt;&gt;"Y"),"FSS/CC SIGNATURE MISSING",IF(AND($O249&gt;=3,$H249&lt;&gt;"Y"),"INVESTIGATION NOT OPENED",""))),""))</f>
        <v/>
      </c>
      <c r="U249" s="25">
        <f>IF($A249="",0,IFERROR(MATCH($B249,'Ref_Calendar'!$A$2:$A$500,0),0))</f>
        <v/>
      </c>
      <c r="V249" s="25">
        <f>IF($A249="",0,IFERROR(SUMPRODUCT(MAX(($A$8:$A$307=$A249)*($P$8:$P$307="PASS")*($U$8:$U$307&lt;=$U249)*$U$8:$U$307)),0))</f>
        <v/>
      </c>
      <c r="W249" s="25">
        <f>IF($A249="","",IFERROR(INDEX('Ref_Crosswalk'!$E$2:$E$500,MATCH($A249,'Ref_Crosswalk'!$A$2:$A$500,0)),""))</f>
        <v/>
      </c>
      <c r="X249" s="25">
        <f>IF($A249="","",IFERROR(INDEX('Ref_Crosswalk'!$C$2:$C$500,MATCH($A249,'Ref_Crosswalk'!$A$2:$A$500,0)),""))</f>
        <v/>
      </c>
      <c r="Y249" s="25">
        <f>IF($A249="",0,IF(AND(OR('Out_Dashboard'!$C$5="",$W249='Out_Dashboard'!$C$5),OR('Out_Dashboard'!$C$6="",$X249='Out_Dashboard'!$C$6),OR('Out_Dashboard'!$C$7="",$B249='Out_Dashboard'!$C$7)),1,0))</f>
        <v/>
      </c>
      <c r="Z249" s="25">
        <f>IF(AND($A249&lt;&gt;"",$S249&lt;&gt;"",$Y249=1),SUMPRODUCT(($A$8:$A249&lt;&gt;"")*($S$8:$S249&lt;&gt;"")*($Y$8:$Y249=1)),"")</f>
        <v/>
      </c>
      <c r="AA249" s="25">
        <f>IF(AND($A249&lt;&gt;"",$T249&lt;&gt;"",$Y249=1),SUMPRODUCT(($A$8:$A249&lt;&gt;"")*($T$8:$T249&lt;&gt;"")*($Y$8:$Y249=1)),"")</f>
        <v/>
      </c>
    </row>
    <row r="250">
      <c r="A250" s="13" t="n"/>
      <c r="B250" s="13" t="n"/>
      <c r="C250" s="26" t="n"/>
      <c r="D250" s="26" t="n"/>
      <c r="E250" s="26" t="n"/>
      <c r="F250" s="13" t="n"/>
      <c r="G250" s="13" t="n"/>
      <c r="H250" s="13" t="n"/>
      <c r="I250" s="13" t="n"/>
      <c r="J250" s="23">
        <f>IF($A250="","",IFERROR(INDEX('Ref_Crosswalk'!$F$2:$F$500,MATCH($A250,'Ref_Crosswalk'!$A$2:$A$500,0)),"UNKNOWN"))</f>
        <v/>
      </c>
      <c r="K250" s="24">
        <f>IF($A250="","",IFERROR(INDEX('Ref_Tolerance'!$B$2:$B$9,MATCH($J250,'Ref_Tolerance'!$A$2:$A$9,0)),""))</f>
        <v/>
      </c>
      <c r="L250" s="23">
        <f>IF($A250="","",IFERROR(INDEX('Ref_Tolerance'!$D$2:$D$9,MATCH($J250,'Ref_Tolerance'!$A$2:$A$9,0)),""))</f>
        <v/>
      </c>
      <c r="M250" s="24">
        <f>IF($A250="","",IFERROR(ABS(N($D250))/N($C250),0))</f>
        <v/>
      </c>
      <c r="N250" s="24">
        <f>IF($A250="","",IFERROR(N($E250)/N($C250),0))</f>
        <v/>
      </c>
      <c r="O250" s="23">
        <f>IF($A250="",0,IFERROR(SUMPRODUCT(($A$8:$A$307=$A250)*($P$8:$P$307="FAIL")*($U$8:$U$307&gt;$V250)*($U$8:$U$307&lt;=$U250)),0))</f>
        <v/>
      </c>
      <c r="P250" s="23">
        <f>IF($A250="","",IFERROR(IF(NOT(ISNUMBER($K250)),"CHECK",IF($L250="MARGIN",IF($N250&lt;=$K250,"PASS","FAIL"),IF($M250&lt;=$K250,"PASS","FAIL"))),"CHECK"))</f>
        <v/>
      </c>
      <c r="Q250" s="23">
        <f>IF($A250="","",IFERROR(INDEX('Ref_Tolerance'!$E$2:$E$9,MATCH($J250,'Ref_Tolerance'!$A$2:$A$9,0)),""))</f>
        <v/>
      </c>
      <c r="R250" s="23">
        <f>IF($A250="","",IFERROR(IF($O250=0,"CLEAR",IF($O250=1,"MFR DUE - MANAGER",IF($O250=2,"MFR DUE - FSS/CC SIGNATURE REQUIRED","INVESTIGATION + REPORT OF SURVEY; MSG/CC NOTIFIED"))),""))</f>
        <v/>
      </c>
      <c r="S250" s="23">
        <f>IF($A250="","",IF($O250=2,"WATCH - ONE MORE MISS TRIGGERS INVESTIGATION",""))</f>
        <v/>
      </c>
      <c r="T250" s="23">
        <f>IF($A250="","",IFERROR(IF(AND($O250&gt;=1,$F250&lt;&gt;"Y"),"MFR NOT SUBMITTED",IF(AND($O250&gt;=2,$G250&lt;&gt;"Y"),"FSS/CC SIGNATURE MISSING",IF(AND($O250&gt;=3,$H250&lt;&gt;"Y"),"INVESTIGATION NOT OPENED",""))),""))</f>
        <v/>
      </c>
      <c r="U250" s="25">
        <f>IF($A250="",0,IFERROR(MATCH($B250,'Ref_Calendar'!$A$2:$A$500,0),0))</f>
        <v/>
      </c>
      <c r="V250" s="25">
        <f>IF($A250="",0,IFERROR(SUMPRODUCT(MAX(($A$8:$A$307=$A250)*($P$8:$P$307="PASS")*($U$8:$U$307&lt;=$U250)*$U$8:$U$307)),0))</f>
        <v/>
      </c>
      <c r="W250" s="25">
        <f>IF($A250="","",IFERROR(INDEX('Ref_Crosswalk'!$E$2:$E$500,MATCH($A250,'Ref_Crosswalk'!$A$2:$A$500,0)),""))</f>
        <v/>
      </c>
      <c r="X250" s="25">
        <f>IF($A250="","",IFERROR(INDEX('Ref_Crosswalk'!$C$2:$C$500,MATCH($A250,'Ref_Crosswalk'!$A$2:$A$500,0)),""))</f>
        <v/>
      </c>
      <c r="Y250" s="25">
        <f>IF($A250="",0,IF(AND(OR('Out_Dashboard'!$C$5="",$W250='Out_Dashboard'!$C$5),OR('Out_Dashboard'!$C$6="",$X250='Out_Dashboard'!$C$6),OR('Out_Dashboard'!$C$7="",$B250='Out_Dashboard'!$C$7)),1,0))</f>
        <v/>
      </c>
      <c r="Z250" s="25">
        <f>IF(AND($A250&lt;&gt;"",$S250&lt;&gt;"",$Y250=1),SUMPRODUCT(($A$8:$A250&lt;&gt;"")*($S$8:$S250&lt;&gt;"")*($Y$8:$Y250=1)),"")</f>
        <v/>
      </c>
      <c r="AA250" s="25">
        <f>IF(AND($A250&lt;&gt;"",$T250&lt;&gt;"",$Y250=1),SUMPRODUCT(($A$8:$A250&lt;&gt;"")*($T$8:$T250&lt;&gt;"")*($Y$8:$Y250=1)),"")</f>
        <v/>
      </c>
    </row>
    <row r="251">
      <c r="A251" s="13" t="n"/>
      <c r="B251" s="13" t="n"/>
      <c r="C251" s="26" t="n"/>
      <c r="D251" s="26" t="n"/>
      <c r="E251" s="26" t="n"/>
      <c r="F251" s="13" t="n"/>
      <c r="G251" s="13" t="n"/>
      <c r="H251" s="13" t="n"/>
      <c r="I251" s="13" t="n"/>
      <c r="J251" s="23">
        <f>IF($A251="","",IFERROR(INDEX('Ref_Crosswalk'!$F$2:$F$500,MATCH($A251,'Ref_Crosswalk'!$A$2:$A$500,0)),"UNKNOWN"))</f>
        <v/>
      </c>
      <c r="K251" s="24">
        <f>IF($A251="","",IFERROR(INDEX('Ref_Tolerance'!$B$2:$B$9,MATCH($J251,'Ref_Tolerance'!$A$2:$A$9,0)),""))</f>
        <v/>
      </c>
      <c r="L251" s="23">
        <f>IF($A251="","",IFERROR(INDEX('Ref_Tolerance'!$D$2:$D$9,MATCH($J251,'Ref_Tolerance'!$A$2:$A$9,0)),""))</f>
        <v/>
      </c>
      <c r="M251" s="24">
        <f>IF($A251="","",IFERROR(ABS(N($D251))/N($C251),0))</f>
        <v/>
      </c>
      <c r="N251" s="24">
        <f>IF($A251="","",IFERROR(N($E251)/N($C251),0))</f>
        <v/>
      </c>
      <c r="O251" s="23">
        <f>IF($A251="",0,IFERROR(SUMPRODUCT(($A$8:$A$307=$A251)*($P$8:$P$307="FAIL")*($U$8:$U$307&gt;$V251)*($U$8:$U$307&lt;=$U251)),0))</f>
        <v/>
      </c>
      <c r="P251" s="23">
        <f>IF($A251="","",IFERROR(IF(NOT(ISNUMBER($K251)),"CHECK",IF($L251="MARGIN",IF($N251&lt;=$K251,"PASS","FAIL"),IF($M251&lt;=$K251,"PASS","FAIL"))),"CHECK"))</f>
        <v/>
      </c>
      <c r="Q251" s="23">
        <f>IF($A251="","",IFERROR(INDEX('Ref_Tolerance'!$E$2:$E$9,MATCH($J251,'Ref_Tolerance'!$A$2:$A$9,0)),""))</f>
        <v/>
      </c>
      <c r="R251" s="23">
        <f>IF($A251="","",IFERROR(IF($O251=0,"CLEAR",IF($O251=1,"MFR DUE - MANAGER",IF($O251=2,"MFR DUE - FSS/CC SIGNATURE REQUIRED","INVESTIGATION + REPORT OF SURVEY; MSG/CC NOTIFIED"))),""))</f>
        <v/>
      </c>
      <c r="S251" s="23">
        <f>IF($A251="","",IF($O251=2,"WATCH - ONE MORE MISS TRIGGERS INVESTIGATION",""))</f>
        <v/>
      </c>
      <c r="T251" s="23">
        <f>IF($A251="","",IFERROR(IF(AND($O251&gt;=1,$F251&lt;&gt;"Y"),"MFR NOT SUBMITTED",IF(AND($O251&gt;=2,$G251&lt;&gt;"Y"),"FSS/CC SIGNATURE MISSING",IF(AND($O251&gt;=3,$H251&lt;&gt;"Y"),"INVESTIGATION NOT OPENED",""))),""))</f>
        <v/>
      </c>
      <c r="U251" s="25">
        <f>IF($A251="",0,IFERROR(MATCH($B251,'Ref_Calendar'!$A$2:$A$500,0),0))</f>
        <v/>
      </c>
      <c r="V251" s="25">
        <f>IF($A251="",0,IFERROR(SUMPRODUCT(MAX(($A$8:$A$307=$A251)*($P$8:$P$307="PASS")*($U$8:$U$307&lt;=$U251)*$U$8:$U$307)),0))</f>
        <v/>
      </c>
      <c r="W251" s="25">
        <f>IF($A251="","",IFERROR(INDEX('Ref_Crosswalk'!$E$2:$E$500,MATCH($A251,'Ref_Crosswalk'!$A$2:$A$500,0)),""))</f>
        <v/>
      </c>
      <c r="X251" s="25">
        <f>IF($A251="","",IFERROR(INDEX('Ref_Crosswalk'!$C$2:$C$500,MATCH($A251,'Ref_Crosswalk'!$A$2:$A$500,0)),""))</f>
        <v/>
      </c>
      <c r="Y251" s="25">
        <f>IF($A251="",0,IF(AND(OR('Out_Dashboard'!$C$5="",$W251='Out_Dashboard'!$C$5),OR('Out_Dashboard'!$C$6="",$X251='Out_Dashboard'!$C$6),OR('Out_Dashboard'!$C$7="",$B251='Out_Dashboard'!$C$7)),1,0))</f>
        <v/>
      </c>
      <c r="Z251" s="25">
        <f>IF(AND($A251&lt;&gt;"",$S251&lt;&gt;"",$Y251=1),SUMPRODUCT(($A$8:$A251&lt;&gt;"")*($S$8:$S251&lt;&gt;"")*($Y$8:$Y251=1)),"")</f>
        <v/>
      </c>
      <c r="AA251" s="25">
        <f>IF(AND($A251&lt;&gt;"",$T251&lt;&gt;"",$Y251=1),SUMPRODUCT(($A$8:$A251&lt;&gt;"")*($T$8:$T251&lt;&gt;"")*($Y$8:$Y251=1)),"")</f>
        <v/>
      </c>
    </row>
    <row r="252">
      <c r="A252" s="13" t="n"/>
      <c r="B252" s="13" t="n"/>
      <c r="C252" s="26" t="n"/>
      <c r="D252" s="26" t="n"/>
      <c r="E252" s="26" t="n"/>
      <c r="F252" s="13" t="n"/>
      <c r="G252" s="13" t="n"/>
      <c r="H252" s="13" t="n"/>
      <c r="I252" s="13" t="n"/>
      <c r="J252" s="23">
        <f>IF($A252="","",IFERROR(INDEX('Ref_Crosswalk'!$F$2:$F$500,MATCH($A252,'Ref_Crosswalk'!$A$2:$A$500,0)),"UNKNOWN"))</f>
        <v/>
      </c>
      <c r="K252" s="24">
        <f>IF($A252="","",IFERROR(INDEX('Ref_Tolerance'!$B$2:$B$9,MATCH($J252,'Ref_Tolerance'!$A$2:$A$9,0)),""))</f>
        <v/>
      </c>
      <c r="L252" s="23">
        <f>IF($A252="","",IFERROR(INDEX('Ref_Tolerance'!$D$2:$D$9,MATCH($J252,'Ref_Tolerance'!$A$2:$A$9,0)),""))</f>
        <v/>
      </c>
      <c r="M252" s="24">
        <f>IF($A252="","",IFERROR(ABS(N($D252))/N($C252),0))</f>
        <v/>
      </c>
      <c r="N252" s="24">
        <f>IF($A252="","",IFERROR(N($E252)/N($C252),0))</f>
        <v/>
      </c>
      <c r="O252" s="23">
        <f>IF($A252="",0,IFERROR(SUMPRODUCT(($A$8:$A$307=$A252)*($P$8:$P$307="FAIL")*($U$8:$U$307&gt;$V252)*($U$8:$U$307&lt;=$U252)),0))</f>
        <v/>
      </c>
      <c r="P252" s="23">
        <f>IF($A252="","",IFERROR(IF(NOT(ISNUMBER($K252)),"CHECK",IF($L252="MARGIN",IF($N252&lt;=$K252,"PASS","FAIL"),IF($M252&lt;=$K252,"PASS","FAIL"))),"CHECK"))</f>
        <v/>
      </c>
      <c r="Q252" s="23">
        <f>IF($A252="","",IFERROR(INDEX('Ref_Tolerance'!$E$2:$E$9,MATCH($J252,'Ref_Tolerance'!$A$2:$A$9,0)),""))</f>
        <v/>
      </c>
      <c r="R252" s="23">
        <f>IF($A252="","",IFERROR(IF($O252=0,"CLEAR",IF($O252=1,"MFR DUE - MANAGER",IF($O252=2,"MFR DUE - FSS/CC SIGNATURE REQUIRED","INVESTIGATION + REPORT OF SURVEY; MSG/CC NOTIFIED"))),""))</f>
        <v/>
      </c>
      <c r="S252" s="23">
        <f>IF($A252="","",IF($O252=2,"WATCH - ONE MORE MISS TRIGGERS INVESTIGATION",""))</f>
        <v/>
      </c>
      <c r="T252" s="23">
        <f>IF($A252="","",IFERROR(IF(AND($O252&gt;=1,$F252&lt;&gt;"Y"),"MFR NOT SUBMITTED",IF(AND($O252&gt;=2,$G252&lt;&gt;"Y"),"FSS/CC SIGNATURE MISSING",IF(AND($O252&gt;=3,$H252&lt;&gt;"Y"),"INVESTIGATION NOT OPENED",""))),""))</f>
        <v/>
      </c>
      <c r="U252" s="25">
        <f>IF($A252="",0,IFERROR(MATCH($B252,'Ref_Calendar'!$A$2:$A$500,0),0))</f>
        <v/>
      </c>
      <c r="V252" s="25">
        <f>IF($A252="",0,IFERROR(SUMPRODUCT(MAX(($A$8:$A$307=$A252)*($P$8:$P$307="PASS")*($U$8:$U$307&lt;=$U252)*$U$8:$U$307)),0))</f>
        <v/>
      </c>
      <c r="W252" s="25">
        <f>IF($A252="","",IFERROR(INDEX('Ref_Crosswalk'!$E$2:$E$500,MATCH($A252,'Ref_Crosswalk'!$A$2:$A$500,0)),""))</f>
        <v/>
      </c>
      <c r="X252" s="25">
        <f>IF($A252="","",IFERROR(INDEX('Ref_Crosswalk'!$C$2:$C$500,MATCH($A252,'Ref_Crosswalk'!$A$2:$A$500,0)),""))</f>
        <v/>
      </c>
      <c r="Y252" s="25">
        <f>IF($A252="",0,IF(AND(OR('Out_Dashboard'!$C$5="",$W252='Out_Dashboard'!$C$5),OR('Out_Dashboard'!$C$6="",$X252='Out_Dashboard'!$C$6),OR('Out_Dashboard'!$C$7="",$B252='Out_Dashboard'!$C$7)),1,0))</f>
        <v/>
      </c>
      <c r="Z252" s="25">
        <f>IF(AND($A252&lt;&gt;"",$S252&lt;&gt;"",$Y252=1),SUMPRODUCT(($A$8:$A252&lt;&gt;"")*($S$8:$S252&lt;&gt;"")*($Y$8:$Y252=1)),"")</f>
        <v/>
      </c>
      <c r="AA252" s="25">
        <f>IF(AND($A252&lt;&gt;"",$T252&lt;&gt;"",$Y252=1),SUMPRODUCT(($A$8:$A252&lt;&gt;"")*($T$8:$T252&lt;&gt;"")*($Y$8:$Y252=1)),"")</f>
        <v/>
      </c>
    </row>
    <row r="253">
      <c r="A253" s="13" t="n"/>
      <c r="B253" s="13" t="n"/>
      <c r="C253" s="26" t="n"/>
      <c r="D253" s="26" t="n"/>
      <c r="E253" s="26" t="n"/>
      <c r="F253" s="13" t="n"/>
      <c r="G253" s="13" t="n"/>
      <c r="H253" s="13" t="n"/>
      <c r="I253" s="13" t="n"/>
      <c r="J253" s="23">
        <f>IF($A253="","",IFERROR(INDEX('Ref_Crosswalk'!$F$2:$F$500,MATCH($A253,'Ref_Crosswalk'!$A$2:$A$500,0)),"UNKNOWN"))</f>
        <v/>
      </c>
      <c r="K253" s="24">
        <f>IF($A253="","",IFERROR(INDEX('Ref_Tolerance'!$B$2:$B$9,MATCH($J253,'Ref_Tolerance'!$A$2:$A$9,0)),""))</f>
        <v/>
      </c>
      <c r="L253" s="23">
        <f>IF($A253="","",IFERROR(INDEX('Ref_Tolerance'!$D$2:$D$9,MATCH($J253,'Ref_Tolerance'!$A$2:$A$9,0)),""))</f>
        <v/>
      </c>
      <c r="M253" s="24">
        <f>IF($A253="","",IFERROR(ABS(N($D253))/N($C253),0))</f>
        <v/>
      </c>
      <c r="N253" s="24">
        <f>IF($A253="","",IFERROR(N($E253)/N($C253),0))</f>
        <v/>
      </c>
      <c r="O253" s="23">
        <f>IF($A253="",0,IFERROR(SUMPRODUCT(($A$8:$A$307=$A253)*($P$8:$P$307="FAIL")*($U$8:$U$307&gt;$V253)*($U$8:$U$307&lt;=$U253)),0))</f>
        <v/>
      </c>
      <c r="P253" s="23">
        <f>IF($A253="","",IFERROR(IF(NOT(ISNUMBER($K253)),"CHECK",IF($L253="MARGIN",IF($N253&lt;=$K253,"PASS","FAIL"),IF($M253&lt;=$K253,"PASS","FAIL"))),"CHECK"))</f>
        <v/>
      </c>
      <c r="Q253" s="23">
        <f>IF($A253="","",IFERROR(INDEX('Ref_Tolerance'!$E$2:$E$9,MATCH($J253,'Ref_Tolerance'!$A$2:$A$9,0)),""))</f>
        <v/>
      </c>
      <c r="R253" s="23">
        <f>IF($A253="","",IFERROR(IF($O253=0,"CLEAR",IF($O253=1,"MFR DUE - MANAGER",IF($O253=2,"MFR DUE - FSS/CC SIGNATURE REQUIRED","INVESTIGATION + REPORT OF SURVEY; MSG/CC NOTIFIED"))),""))</f>
        <v/>
      </c>
      <c r="S253" s="23">
        <f>IF($A253="","",IF($O253=2,"WATCH - ONE MORE MISS TRIGGERS INVESTIGATION",""))</f>
        <v/>
      </c>
      <c r="T253" s="23">
        <f>IF($A253="","",IFERROR(IF(AND($O253&gt;=1,$F253&lt;&gt;"Y"),"MFR NOT SUBMITTED",IF(AND($O253&gt;=2,$G253&lt;&gt;"Y"),"FSS/CC SIGNATURE MISSING",IF(AND($O253&gt;=3,$H253&lt;&gt;"Y"),"INVESTIGATION NOT OPENED",""))),""))</f>
        <v/>
      </c>
      <c r="U253" s="25">
        <f>IF($A253="",0,IFERROR(MATCH($B253,'Ref_Calendar'!$A$2:$A$500,0),0))</f>
        <v/>
      </c>
      <c r="V253" s="25">
        <f>IF($A253="",0,IFERROR(SUMPRODUCT(MAX(($A$8:$A$307=$A253)*($P$8:$P$307="PASS")*($U$8:$U$307&lt;=$U253)*$U$8:$U$307)),0))</f>
        <v/>
      </c>
      <c r="W253" s="25">
        <f>IF($A253="","",IFERROR(INDEX('Ref_Crosswalk'!$E$2:$E$500,MATCH($A253,'Ref_Crosswalk'!$A$2:$A$500,0)),""))</f>
        <v/>
      </c>
      <c r="X253" s="25">
        <f>IF($A253="","",IFERROR(INDEX('Ref_Crosswalk'!$C$2:$C$500,MATCH($A253,'Ref_Crosswalk'!$A$2:$A$500,0)),""))</f>
        <v/>
      </c>
      <c r="Y253" s="25">
        <f>IF($A253="",0,IF(AND(OR('Out_Dashboard'!$C$5="",$W253='Out_Dashboard'!$C$5),OR('Out_Dashboard'!$C$6="",$X253='Out_Dashboard'!$C$6),OR('Out_Dashboard'!$C$7="",$B253='Out_Dashboard'!$C$7)),1,0))</f>
        <v/>
      </c>
      <c r="Z253" s="25">
        <f>IF(AND($A253&lt;&gt;"",$S253&lt;&gt;"",$Y253=1),SUMPRODUCT(($A$8:$A253&lt;&gt;"")*($S$8:$S253&lt;&gt;"")*($Y$8:$Y253=1)),"")</f>
        <v/>
      </c>
      <c r="AA253" s="25">
        <f>IF(AND($A253&lt;&gt;"",$T253&lt;&gt;"",$Y253=1),SUMPRODUCT(($A$8:$A253&lt;&gt;"")*($T$8:$T253&lt;&gt;"")*($Y$8:$Y253=1)),"")</f>
        <v/>
      </c>
    </row>
    <row r="254">
      <c r="A254" s="13" t="n"/>
      <c r="B254" s="13" t="n"/>
      <c r="C254" s="26" t="n"/>
      <c r="D254" s="26" t="n"/>
      <c r="E254" s="26" t="n"/>
      <c r="F254" s="13" t="n"/>
      <c r="G254" s="13" t="n"/>
      <c r="H254" s="13" t="n"/>
      <c r="I254" s="13" t="n"/>
      <c r="J254" s="23">
        <f>IF($A254="","",IFERROR(INDEX('Ref_Crosswalk'!$F$2:$F$500,MATCH($A254,'Ref_Crosswalk'!$A$2:$A$500,0)),"UNKNOWN"))</f>
        <v/>
      </c>
      <c r="K254" s="24">
        <f>IF($A254="","",IFERROR(INDEX('Ref_Tolerance'!$B$2:$B$9,MATCH($J254,'Ref_Tolerance'!$A$2:$A$9,0)),""))</f>
        <v/>
      </c>
      <c r="L254" s="23">
        <f>IF($A254="","",IFERROR(INDEX('Ref_Tolerance'!$D$2:$D$9,MATCH($J254,'Ref_Tolerance'!$A$2:$A$9,0)),""))</f>
        <v/>
      </c>
      <c r="M254" s="24">
        <f>IF($A254="","",IFERROR(ABS(N($D254))/N($C254),0))</f>
        <v/>
      </c>
      <c r="N254" s="24">
        <f>IF($A254="","",IFERROR(N($E254)/N($C254),0))</f>
        <v/>
      </c>
      <c r="O254" s="23">
        <f>IF($A254="",0,IFERROR(SUMPRODUCT(($A$8:$A$307=$A254)*($P$8:$P$307="FAIL")*($U$8:$U$307&gt;$V254)*($U$8:$U$307&lt;=$U254)),0))</f>
        <v/>
      </c>
      <c r="P254" s="23">
        <f>IF($A254="","",IFERROR(IF(NOT(ISNUMBER($K254)),"CHECK",IF($L254="MARGIN",IF($N254&lt;=$K254,"PASS","FAIL"),IF($M254&lt;=$K254,"PASS","FAIL"))),"CHECK"))</f>
        <v/>
      </c>
      <c r="Q254" s="23">
        <f>IF($A254="","",IFERROR(INDEX('Ref_Tolerance'!$E$2:$E$9,MATCH($J254,'Ref_Tolerance'!$A$2:$A$9,0)),""))</f>
        <v/>
      </c>
      <c r="R254" s="23">
        <f>IF($A254="","",IFERROR(IF($O254=0,"CLEAR",IF($O254=1,"MFR DUE - MANAGER",IF($O254=2,"MFR DUE - FSS/CC SIGNATURE REQUIRED","INVESTIGATION + REPORT OF SURVEY; MSG/CC NOTIFIED"))),""))</f>
        <v/>
      </c>
      <c r="S254" s="23">
        <f>IF($A254="","",IF($O254=2,"WATCH - ONE MORE MISS TRIGGERS INVESTIGATION",""))</f>
        <v/>
      </c>
      <c r="T254" s="23">
        <f>IF($A254="","",IFERROR(IF(AND($O254&gt;=1,$F254&lt;&gt;"Y"),"MFR NOT SUBMITTED",IF(AND($O254&gt;=2,$G254&lt;&gt;"Y"),"FSS/CC SIGNATURE MISSING",IF(AND($O254&gt;=3,$H254&lt;&gt;"Y"),"INVESTIGATION NOT OPENED",""))),""))</f>
        <v/>
      </c>
      <c r="U254" s="25">
        <f>IF($A254="",0,IFERROR(MATCH($B254,'Ref_Calendar'!$A$2:$A$500,0),0))</f>
        <v/>
      </c>
      <c r="V254" s="25">
        <f>IF($A254="",0,IFERROR(SUMPRODUCT(MAX(($A$8:$A$307=$A254)*($P$8:$P$307="PASS")*($U$8:$U$307&lt;=$U254)*$U$8:$U$307)),0))</f>
        <v/>
      </c>
      <c r="W254" s="25">
        <f>IF($A254="","",IFERROR(INDEX('Ref_Crosswalk'!$E$2:$E$500,MATCH($A254,'Ref_Crosswalk'!$A$2:$A$500,0)),""))</f>
        <v/>
      </c>
      <c r="X254" s="25">
        <f>IF($A254="","",IFERROR(INDEX('Ref_Crosswalk'!$C$2:$C$500,MATCH($A254,'Ref_Crosswalk'!$A$2:$A$500,0)),""))</f>
        <v/>
      </c>
      <c r="Y254" s="25">
        <f>IF($A254="",0,IF(AND(OR('Out_Dashboard'!$C$5="",$W254='Out_Dashboard'!$C$5),OR('Out_Dashboard'!$C$6="",$X254='Out_Dashboard'!$C$6),OR('Out_Dashboard'!$C$7="",$B254='Out_Dashboard'!$C$7)),1,0))</f>
        <v/>
      </c>
      <c r="Z254" s="25">
        <f>IF(AND($A254&lt;&gt;"",$S254&lt;&gt;"",$Y254=1),SUMPRODUCT(($A$8:$A254&lt;&gt;"")*($S$8:$S254&lt;&gt;"")*($Y$8:$Y254=1)),"")</f>
        <v/>
      </c>
      <c r="AA254" s="25">
        <f>IF(AND($A254&lt;&gt;"",$T254&lt;&gt;"",$Y254=1),SUMPRODUCT(($A$8:$A254&lt;&gt;"")*($T$8:$T254&lt;&gt;"")*($Y$8:$Y254=1)),"")</f>
        <v/>
      </c>
    </row>
    <row r="255">
      <c r="A255" s="13" t="n"/>
      <c r="B255" s="13" t="n"/>
      <c r="C255" s="26" t="n"/>
      <c r="D255" s="26" t="n"/>
      <c r="E255" s="26" t="n"/>
      <c r="F255" s="13" t="n"/>
      <c r="G255" s="13" t="n"/>
      <c r="H255" s="13" t="n"/>
      <c r="I255" s="13" t="n"/>
      <c r="J255" s="23">
        <f>IF($A255="","",IFERROR(INDEX('Ref_Crosswalk'!$F$2:$F$500,MATCH($A255,'Ref_Crosswalk'!$A$2:$A$500,0)),"UNKNOWN"))</f>
        <v/>
      </c>
      <c r="K255" s="24">
        <f>IF($A255="","",IFERROR(INDEX('Ref_Tolerance'!$B$2:$B$9,MATCH($J255,'Ref_Tolerance'!$A$2:$A$9,0)),""))</f>
        <v/>
      </c>
      <c r="L255" s="23">
        <f>IF($A255="","",IFERROR(INDEX('Ref_Tolerance'!$D$2:$D$9,MATCH($J255,'Ref_Tolerance'!$A$2:$A$9,0)),""))</f>
        <v/>
      </c>
      <c r="M255" s="24">
        <f>IF($A255="","",IFERROR(ABS(N($D255))/N($C255),0))</f>
        <v/>
      </c>
      <c r="N255" s="24">
        <f>IF($A255="","",IFERROR(N($E255)/N($C255),0))</f>
        <v/>
      </c>
      <c r="O255" s="23">
        <f>IF($A255="",0,IFERROR(SUMPRODUCT(($A$8:$A$307=$A255)*($P$8:$P$307="FAIL")*($U$8:$U$307&gt;$V255)*($U$8:$U$307&lt;=$U255)),0))</f>
        <v/>
      </c>
      <c r="P255" s="23">
        <f>IF($A255="","",IFERROR(IF(NOT(ISNUMBER($K255)),"CHECK",IF($L255="MARGIN",IF($N255&lt;=$K255,"PASS","FAIL"),IF($M255&lt;=$K255,"PASS","FAIL"))),"CHECK"))</f>
        <v/>
      </c>
      <c r="Q255" s="23">
        <f>IF($A255="","",IFERROR(INDEX('Ref_Tolerance'!$E$2:$E$9,MATCH($J255,'Ref_Tolerance'!$A$2:$A$9,0)),""))</f>
        <v/>
      </c>
      <c r="R255" s="23">
        <f>IF($A255="","",IFERROR(IF($O255=0,"CLEAR",IF($O255=1,"MFR DUE - MANAGER",IF($O255=2,"MFR DUE - FSS/CC SIGNATURE REQUIRED","INVESTIGATION + REPORT OF SURVEY; MSG/CC NOTIFIED"))),""))</f>
        <v/>
      </c>
      <c r="S255" s="23">
        <f>IF($A255="","",IF($O255=2,"WATCH - ONE MORE MISS TRIGGERS INVESTIGATION",""))</f>
        <v/>
      </c>
      <c r="T255" s="23">
        <f>IF($A255="","",IFERROR(IF(AND($O255&gt;=1,$F255&lt;&gt;"Y"),"MFR NOT SUBMITTED",IF(AND($O255&gt;=2,$G255&lt;&gt;"Y"),"FSS/CC SIGNATURE MISSING",IF(AND($O255&gt;=3,$H255&lt;&gt;"Y"),"INVESTIGATION NOT OPENED",""))),""))</f>
        <v/>
      </c>
      <c r="U255" s="25">
        <f>IF($A255="",0,IFERROR(MATCH($B255,'Ref_Calendar'!$A$2:$A$500,0),0))</f>
        <v/>
      </c>
      <c r="V255" s="25">
        <f>IF($A255="",0,IFERROR(SUMPRODUCT(MAX(($A$8:$A$307=$A255)*($P$8:$P$307="PASS")*($U$8:$U$307&lt;=$U255)*$U$8:$U$307)),0))</f>
        <v/>
      </c>
      <c r="W255" s="25">
        <f>IF($A255="","",IFERROR(INDEX('Ref_Crosswalk'!$E$2:$E$500,MATCH($A255,'Ref_Crosswalk'!$A$2:$A$500,0)),""))</f>
        <v/>
      </c>
      <c r="X255" s="25">
        <f>IF($A255="","",IFERROR(INDEX('Ref_Crosswalk'!$C$2:$C$500,MATCH($A255,'Ref_Crosswalk'!$A$2:$A$500,0)),""))</f>
        <v/>
      </c>
      <c r="Y255" s="25">
        <f>IF($A255="",0,IF(AND(OR('Out_Dashboard'!$C$5="",$W255='Out_Dashboard'!$C$5),OR('Out_Dashboard'!$C$6="",$X255='Out_Dashboard'!$C$6),OR('Out_Dashboard'!$C$7="",$B255='Out_Dashboard'!$C$7)),1,0))</f>
        <v/>
      </c>
      <c r="Z255" s="25">
        <f>IF(AND($A255&lt;&gt;"",$S255&lt;&gt;"",$Y255=1),SUMPRODUCT(($A$8:$A255&lt;&gt;"")*($S$8:$S255&lt;&gt;"")*($Y$8:$Y255=1)),"")</f>
        <v/>
      </c>
      <c r="AA255" s="25">
        <f>IF(AND($A255&lt;&gt;"",$T255&lt;&gt;"",$Y255=1),SUMPRODUCT(($A$8:$A255&lt;&gt;"")*($T$8:$T255&lt;&gt;"")*($Y$8:$Y255=1)),"")</f>
        <v/>
      </c>
    </row>
    <row r="256">
      <c r="A256" s="13" t="n"/>
      <c r="B256" s="13" t="n"/>
      <c r="C256" s="26" t="n"/>
      <c r="D256" s="26" t="n"/>
      <c r="E256" s="26" t="n"/>
      <c r="F256" s="13" t="n"/>
      <c r="G256" s="13" t="n"/>
      <c r="H256" s="13" t="n"/>
      <c r="I256" s="13" t="n"/>
      <c r="J256" s="23">
        <f>IF($A256="","",IFERROR(INDEX('Ref_Crosswalk'!$F$2:$F$500,MATCH($A256,'Ref_Crosswalk'!$A$2:$A$500,0)),"UNKNOWN"))</f>
        <v/>
      </c>
      <c r="K256" s="24">
        <f>IF($A256="","",IFERROR(INDEX('Ref_Tolerance'!$B$2:$B$9,MATCH($J256,'Ref_Tolerance'!$A$2:$A$9,0)),""))</f>
        <v/>
      </c>
      <c r="L256" s="23">
        <f>IF($A256="","",IFERROR(INDEX('Ref_Tolerance'!$D$2:$D$9,MATCH($J256,'Ref_Tolerance'!$A$2:$A$9,0)),""))</f>
        <v/>
      </c>
      <c r="M256" s="24">
        <f>IF($A256="","",IFERROR(ABS(N($D256))/N($C256),0))</f>
        <v/>
      </c>
      <c r="N256" s="24">
        <f>IF($A256="","",IFERROR(N($E256)/N($C256),0))</f>
        <v/>
      </c>
      <c r="O256" s="23">
        <f>IF($A256="",0,IFERROR(SUMPRODUCT(($A$8:$A$307=$A256)*($P$8:$P$307="FAIL")*($U$8:$U$307&gt;$V256)*($U$8:$U$307&lt;=$U256)),0))</f>
        <v/>
      </c>
      <c r="P256" s="23">
        <f>IF($A256="","",IFERROR(IF(NOT(ISNUMBER($K256)),"CHECK",IF($L256="MARGIN",IF($N256&lt;=$K256,"PASS","FAIL"),IF($M256&lt;=$K256,"PASS","FAIL"))),"CHECK"))</f>
        <v/>
      </c>
      <c r="Q256" s="23">
        <f>IF($A256="","",IFERROR(INDEX('Ref_Tolerance'!$E$2:$E$9,MATCH($J256,'Ref_Tolerance'!$A$2:$A$9,0)),""))</f>
        <v/>
      </c>
      <c r="R256" s="23">
        <f>IF($A256="","",IFERROR(IF($O256=0,"CLEAR",IF($O256=1,"MFR DUE - MANAGER",IF($O256=2,"MFR DUE - FSS/CC SIGNATURE REQUIRED","INVESTIGATION + REPORT OF SURVEY; MSG/CC NOTIFIED"))),""))</f>
        <v/>
      </c>
      <c r="S256" s="23">
        <f>IF($A256="","",IF($O256=2,"WATCH - ONE MORE MISS TRIGGERS INVESTIGATION",""))</f>
        <v/>
      </c>
      <c r="T256" s="23">
        <f>IF($A256="","",IFERROR(IF(AND($O256&gt;=1,$F256&lt;&gt;"Y"),"MFR NOT SUBMITTED",IF(AND($O256&gt;=2,$G256&lt;&gt;"Y"),"FSS/CC SIGNATURE MISSING",IF(AND($O256&gt;=3,$H256&lt;&gt;"Y"),"INVESTIGATION NOT OPENED",""))),""))</f>
        <v/>
      </c>
      <c r="U256" s="25">
        <f>IF($A256="",0,IFERROR(MATCH($B256,'Ref_Calendar'!$A$2:$A$500,0),0))</f>
        <v/>
      </c>
      <c r="V256" s="25">
        <f>IF($A256="",0,IFERROR(SUMPRODUCT(MAX(($A$8:$A$307=$A256)*($P$8:$P$307="PASS")*($U$8:$U$307&lt;=$U256)*$U$8:$U$307)),0))</f>
        <v/>
      </c>
      <c r="W256" s="25">
        <f>IF($A256="","",IFERROR(INDEX('Ref_Crosswalk'!$E$2:$E$500,MATCH($A256,'Ref_Crosswalk'!$A$2:$A$500,0)),""))</f>
        <v/>
      </c>
      <c r="X256" s="25">
        <f>IF($A256="","",IFERROR(INDEX('Ref_Crosswalk'!$C$2:$C$500,MATCH($A256,'Ref_Crosswalk'!$A$2:$A$500,0)),""))</f>
        <v/>
      </c>
      <c r="Y256" s="25">
        <f>IF($A256="",0,IF(AND(OR('Out_Dashboard'!$C$5="",$W256='Out_Dashboard'!$C$5),OR('Out_Dashboard'!$C$6="",$X256='Out_Dashboard'!$C$6),OR('Out_Dashboard'!$C$7="",$B256='Out_Dashboard'!$C$7)),1,0))</f>
        <v/>
      </c>
      <c r="Z256" s="25">
        <f>IF(AND($A256&lt;&gt;"",$S256&lt;&gt;"",$Y256=1),SUMPRODUCT(($A$8:$A256&lt;&gt;"")*($S$8:$S256&lt;&gt;"")*($Y$8:$Y256=1)),"")</f>
        <v/>
      </c>
      <c r="AA256" s="25">
        <f>IF(AND($A256&lt;&gt;"",$T256&lt;&gt;"",$Y256=1),SUMPRODUCT(($A$8:$A256&lt;&gt;"")*($T$8:$T256&lt;&gt;"")*($Y$8:$Y256=1)),"")</f>
        <v/>
      </c>
    </row>
    <row r="257">
      <c r="A257" s="13" t="n"/>
      <c r="B257" s="13" t="n"/>
      <c r="C257" s="26" t="n"/>
      <c r="D257" s="26" t="n"/>
      <c r="E257" s="26" t="n"/>
      <c r="F257" s="13" t="n"/>
      <c r="G257" s="13" t="n"/>
      <c r="H257" s="13" t="n"/>
      <c r="I257" s="13" t="n"/>
      <c r="J257" s="23">
        <f>IF($A257="","",IFERROR(INDEX('Ref_Crosswalk'!$F$2:$F$500,MATCH($A257,'Ref_Crosswalk'!$A$2:$A$500,0)),"UNKNOWN"))</f>
        <v/>
      </c>
      <c r="K257" s="24">
        <f>IF($A257="","",IFERROR(INDEX('Ref_Tolerance'!$B$2:$B$9,MATCH($J257,'Ref_Tolerance'!$A$2:$A$9,0)),""))</f>
        <v/>
      </c>
      <c r="L257" s="23">
        <f>IF($A257="","",IFERROR(INDEX('Ref_Tolerance'!$D$2:$D$9,MATCH($J257,'Ref_Tolerance'!$A$2:$A$9,0)),""))</f>
        <v/>
      </c>
      <c r="M257" s="24">
        <f>IF($A257="","",IFERROR(ABS(N($D257))/N($C257),0))</f>
        <v/>
      </c>
      <c r="N257" s="24">
        <f>IF($A257="","",IFERROR(N($E257)/N($C257),0))</f>
        <v/>
      </c>
      <c r="O257" s="23">
        <f>IF($A257="",0,IFERROR(SUMPRODUCT(($A$8:$A$307=$A257)*($P$8:$P$307="FAIL")*($U$8:$U$307&gt;$V257)*($U$8:$U$307&lt;=$U257)),0))</f>
        <v/>
      </c>
      <c r="P257" s="23">
        <f>IF($A257="","",IFERROR(IF(NOT(ISNUMBER($K257)),"CHECK",IF($L257="MARGIN",IF($N257&lt;=$K257,"PASS","FAIL"),IF($M257&lt;=$K257,"PASS","FAIL"))),"CHECK"))</f>
        <v/>
      </c>
      <c r="Q257" s="23">
        <f>IF($A257="","",IFERROR(INDEX('Ref_Tolerance'!$E$2:$E$9,MATCH($J257,'Ref_Tolerance'!$A$2:$A$9,0)),""))</f>
        <v/>
      </c>
      <c r="R257" s="23">
        <f>IF($A257="","",IFERROR(IF($O257=0,"CLEAR",IF($O257=1,"MFR DUE - MANAGER",IF($O257=2,"MFR DUE - FSS/CC SIGNATURE REQUIRED","INVESTIGATION + REPORT OF SURVEY; MSG/CC NOTIFIED"))),""))</f>
        <v/>
      </c>
      <c r="S257" s="23">
        <f>IF($A257="","",IF($O257=2,"WATCH - ONE MORE MISS TRIGGERS INVESTIGATION",""))</f>
        <v/>
      </c>
      <c r="T257" s="23">
        <f>IF($A257="","",IFERROR(IF(AND($O257&gt;=1,$F257&lt;&gt;"Y"),"MFR NOT SUBMITTED",IF(AND($O257&gt;=2,$G257&lt;&gt;"Y"),"FSS/CC SIGNATURE MISSING",IF(AND($O257&gt;=3,$H257&lt;&gt;"Y"),"INVESTIGATION NOT OPENED",""))),""))</f>
        <v/>
      </c>
      <c r="U257" s="25">
        <f>IF($A257="",0,IFERROR(MATCH($B257,'Ref_Calendar'!$A$2:$A$500,0),0))</f>
        <v/>
      </c>
      <c r="V257" s="25">
        <f>IF($A257="",0,IFERROR(SUMPRODUCT(MAX(($A$8:$A$307=$A257)*($P$8:$P$307="PASS")*($U$8:$U$307&lt;=$U257)*$U$8:$U$307)),0))</f>
        <v/>
      </c>
      <c r="W257" s="25">
        <f>IF($A257="","",IFERROR(INDEX('Ref_Crosswalk'!$E$2:$E$500,MATCH($A257,'Ref_Crosswalk'!$A$2:$A$500,0)),""))</f>
        <v/>
      </c>
      <c r="X257" s="25">
        <f>IF($A257="","",IFERROR(INDEX('Ref_Crosswalk'!$C$2:$C$500,MATCH($A257,'Ref_Crosswalk'!$A$2:$A$500,0)),""))</f>
        <v/>
      </c>
      <c r="Y257" s="25">
        <f>IF($A257="",0,IF(AND(OR('Out_Dashboard'!$C$5="",$W257='Out_Dashboard'!$C$5),OR('Out_Dashboard'!$C$6="",$X257='Out_Dashboard'!$C$6),OR('Out_Dashboard'!$C$7="",$B257='Out_Dashboard'!$C$7)),1,0))</f>
        <v/>
      </c>
      <c r="Z257" s="25">
        <f>IF(AND($A257&lt;&gt;"",$S257&lt;&gt;"",$Y257=1),SUMPRODUCT(($A$8:$A257&lt;&gt;"")*($S$8:$S257&lt;&gt;"")*($Y$8:$Y257=1)),"")</f>
        <v/>
      </c>
      <c r="AA257" s="25">
        <f>IF(AND($A257&lt;&gt;"",$T257&lt;&gt;"",$Y257=1),SUMPRODUCT(($A$8:$A257&lt;&gt;"")*($T$8:$T257&lt;&gt;"")*($Y$8:$Y257=1)),"")</f>
        <v/>
      </c>
    </row>
    <row r="258">
      <c r="A258" s="13" t="n"/>
      <c r="B258" s="13" t="n"/>
      <c r="C258" s="26" t="n"/>
      <c r="D258" s="26" t="n"/>
      <c r="E258" s="26" t="n"/>
      <c r="F258" s="13" t="n"/>
      <c r="G258" s="13" t="n"/>
      <c r="H258" s="13" t="n"/>
      <c r="I258" s="13" t="n"/>
      <c r="J258" s="23">
        <f>IF($A258="","",IFERROR(INDEX('Ref_Crosswalk'!$F$2:$F$500,MATCH($A258,'Ref_Crosswalk'!$A$2:$A$500,0)),"UNKNOWN"))</f>
        <v/>
      </c>
      <c r="K258" s="24">
        <f>IF($A258="","",IFERROR(INDEX('Ref_Tolerance'!$B$2:$B$9,MATCH($J258,'Ref_Tolerance'!$A$2:$A$9,0)),""))</f>
        <v/>
      </c>
      <c r="L258" s="23">
        <f>IF($A258="","",IFERROR(INDEX('Ref_Tolerance'!$D$2:$D$9,MATCH($J258,'Ref_Tolerance'!$A$2:$A$9,0)),""))</f>
        <v/>
      </c>
      <c r="M258" s="24">
        <f>IF($A258="","",IFERROR(ABS(N($D258))/N($C258),0))</f>
        <v/>
      </c>
      <c r="N258" s="24">
        <f>IF($A258="","",IFERROR(N($E258)/N($C258),0))</f>
        <v/>
      </c>
      <c r="O258" s="23">
        <f>IF($A258="",0,IFERROR(SUMPRODUCT(($A$8:$A$307=$A258)*($P$8:$P$307="FAIL")*($U$8:$U$307&gt;$V258)*($U$8:$U$307&lt;=$U258)),0))</f>
        <v/>
      </c>
      <c r="P258" s="23">
        <f>IF($A258="","",IFERROR(IF(NOT(ISNUMBER($K258)),"CHECK",IF($L258="MARGIN",IF($N258&lt;=$K258,"PASS","FAIL"),IF($M258&lt;=$K258,"PASS","FAIL"))),"CHECK"))</f>
        <v/>
      </c>
      <c r="Q258" s="23">
        <f>IF($A258="","",IFERROR(INDEX('Ref_Tolerance'!$E$2:$E$9,MATCH($J258,'Ref_Tolerance'!$A$2:$A$9,0)),""))</f>
        <v/>
      </c>
      <c r="R258" s="23">
        <f>IF($A258="","",IFERROR(IF($O258=0,"CLEAR",IF($O258=1,"MFR DUE - MANAGER",IF($O258=2,"MFR DUE - FSS/CC SIGNATURE REQUIRED","INVESTIGATION + REPORT OF SURVEY; MSG/CC NOTIFIED"))),""))</f>
        <v/>
      </c>
      <c r="S258" s="23">
        <f>IF($A258="","",IF($O258=2,"WATCH - ONE MORE MISS TRIGGERS INVESTIGATION",""))</f>
        <v/>
      </c>
      <c r="T258" s="23">
        <f>IF($A258="","",IFERROR(IF(AND($O258&gt;=1,$F258&lt;&gt;"Y"),"MFR NOT SUBMITTED",IF(AND($O258&gt;=2,$G258&lt;&gt;"Y"),"FSS/CC SIGNATURE MISSING",IF(AND($O258&gt;=3,$H258&lt;&gt;"Y"),"INVESTIGATION NOT OPENED",""))),""))</f>
        <v/>
      </c>
      <c r="U258" s="25">
        <f>IF($A258="",0,IFERROR(MATCH($B258,'Ref_Calendar'!$A$2:$A$500,0),0))</f>
        <v/>
      </c>
      <c r="V258" s="25">
        <f>IF($A258="",0,IFERROR(SUMPRODUCT(MAX(($A$8:$A$307=$A258)*($P$8:$P$307="PASS")*($U$8:$U$307&lt;=$U258)*$U$8:$U$307)),0))</f>
        <v/>
      </c>
      <c r="W258" s="25">
        <f>IF($A258="","",IFERROR(INDEX('Ref_Crosswalk'!$E$2:$E$500,MATCH($A258,'Ref_Crosswalk'!$A$2:$A$500,0)),""))</f>
        <v/>
      </c>
      <c r="X258" s="25">
        <f>IF($A258="","",IFERROR(INDEX('Ref_Crosswalk'!$C$2:$C$500,MATCH($A258,'Ref_Crosswalk'!$A$2:$A$500,0)),""))</f>
        <v/>
      </c>
      <c r="Y258" s="25">
        <f>IF($A258="",0,IF(AND(OR('Out_Dashboard'!$C$5="",$W258='Out_Dashboard'!$C$5),OR('Out_Dashboard'!$C$6="",$X258='Out_Dashboard'!$C$6),OR('Out_Dashboard'!$C$7="",$B258='Out_Dashboard'!$C$7)),1,0))</f>
        <v/>
      </c>
      <c r="Z258" s="25">
        <f>IF(AND($A258&lt;&gt;"",$S258&lt;&gt;"",$Y258=1),SUMPRODUCT(($A$8:$A258&lt;&gt;"")*($S$8:$S258&lt;&gt;"")*($Y$8:$Y258=1)),"")</f>
        <v/>
      </c>
      <c r="AA258" s="25">
        <f>IF(AND($A258&lt;&gt;"",$T258&lt;&gt;"",$Y258=1),SUMPRODUCT(($A$8:$A258&lt;&gt;"")*($T$8:$T258&lt;&gt;"")*($Y$8:$Y258=1)),"")</f>
        <v/>
      </c>
    </row>
    <row r="259">
      <c r="A259" s="13" t="n"/>
      <c r="B259" s="13" t="n"/>
      <c r="C259" s="26" t="n"/>
      <c r="D259" s="26" t="n"/>
      <c r="E259" s="26" t="n"/>
      <c r="F259" s="13" t="n"/>
      <c r="G259" s="13" t="n"/>
      <c r="H259" s="13" t="n"/>
      <c r="I259" s="13" t="n"/>
      <c r="J259" s="23">
        <f>IF($A259="","",IFERROR(INDEX('Ref_Crosswalk'!$F$2:$F$500,MATCH($A259,'Ref_Crosswalk'!$A$2:$A$500,0)),"UNKNOWN"))</f>
        <v/>
      </c>
      <c r="K259" s="24">
        <f>IF($A259="","",IFERROR(INDEX('Ref_Tolerance'!$B$2:$B$9,MATCH($J259,'Ref_Tolerance'!$A$2:$A$9,0)),""))</f>
        <v/>
      </c>
      <c r="L259" s="23">
        <f>IF($A259="","",IFERROR(INDEX('Ref_Tolerance'!$D$2:$D$9,MATCH($J259,'Ref_Tolerance'!$A$2:$A$9,0)),""))</f>
        <v/>
      </c>
      <c r="M259" s="24">
        <f>IF($A259="","",IFERROR(ABS(N($D259))/N($C259),0))</f>
        <v/>
      </c>
      <c r="N259" s="24">
        <f>IF($A259="","",IFERROR(N($E259)/N($C259),0))</f>
        <v/>
      </c>
      <c r="O259" s="23">
        <f>IF($A259="",0,IFERROR(SUMPRODUCT(($A$8:$A$307=$A259)*($P$8:$P$307="FAIL")*($U$8:$U$307&gt;$V259)*($U$8:$U$307&lt;=$U259)),0))</f>
        <v/>
      </c>
      <c r="P259" s="23">
        <f>IF($A259="","",IFERROR(IF(NOT(ISNUMBER($K259)),"CHECK",IF($L259="MARGIN",IF($N259&lt;=$K259,"PASS","FAIL"),IF($M259&lt;=$K259,"PASS","FAIL"))),"CHECK"))</f>
        <v/>
      </c>
      <c r="Q259" s="23">
        <f>IF($A259="","",IFERROR(INDEX('Ref_Tolerance'!$E$2:$E$9,MATCH($J259,'Ref_Tolerance'!$A$2:$A$9,0)),""))</f>
        <v/>
      </c>
      <c r="R259" s="23">
        <f>IF($A259="","",IFERROR(IF($O259=0,"CLEAR",IF($O259=1,"MFR DUE - MANAGER",IF($O259=2,"MFR DUE - FSS/CC SIGNATURE REQUIRED","INVESTIGATION + REPORT OF SURVEY; MSG/CC NOTIFIED"))),""))</f>
        <v/>
      </c>
      <c r="S259" s="23">
        <f>IF($A259="","",IF($O259=2,"WATCH - ONE MORE MISS TRIGGERS INVESTIGATION",""))</f>
        <v/>
      </c>
      <c r="T259" s="23">
        <f>IF($A259="","",IFERROR(IF(AND($O259&gt;=1,$F259&lt;&gt;"Y"),"MFR NOT SUBMITTED",IF(AND($O259&gt;=2,$G259&lt;&gt;"Y"),"FSS/CC SIGNATURE MISSING",IF(AND($O259&gt;=3,$H259&lt;&gt;"Y"),"INVESTIGATION NOT OPENED",""))),""))</f>
        <v/>
      </c>
      <c r="U259" s="25">
        <f>IF($A259="",0,IFERROR(MATCH($B259,'Ref_Calendar'!$A$2:$A$500,0),0))</f>
        <v/>
      </c>
      <c r="V259" s="25">
        <f>IF($A259="",0,IFERROR(SUMPRODUCT(MAX(($A$8:$A$307=$A259)*($P$8:$P$307="PASS")*($U$8:$U$307&lt;=$U259)*$U$8:$U$307)),0))</f>
        <v/>
      </c>
      <c r="W259" s="25">
        <f>IF($A259="","",IFERROR(INDEX('Ref_Crosswalk'!$E$2:$E$500,MATCH($A259,'Ref_Crosswalk'!$A$2:$A$500,0)),""))</f>
        <v/>
      </c>
      <c r="X259" s="25">
        <f>IF($A259="","",IFERROR(INDEX('Ref_Crosswalk'!$C$2:$C$500,MATCH($A259,'Ref_Crosswalk'!$A$2:$A$500,0)),""))</f>
        <v/>
      </c>
      <c r="Y259" s="25">
        <f>IF($A259="",0,IF(AND(OR('Out_Dashboard'!$C$5="",$W259='Out_Dashboard'!$C$5),OR('Out_Dashboard'!$C$6="",$X259='Out_Dashboard'!$C$6),OR('Out_Dashboard'!$C$7="",$B259='Out_Dashboard'!$C$7)),1,0))</f>
        <v/>
      </c>
      <c r="Z259" s="25">
        <f>IF(AND($A259&lt;&gt;"",$S259&lt;&gt;"",$Y259=1),SUMPRODUCT(($A$8:$A259&lt;&gt;"")*($S$8:$S259&lt;&gt;"")*($Y$8:$Y259=1)),"")</f>
        <v/>
      </c>
      <c r="AA259" s="25">
        <f>IF(AND($A259&lt;&gt;"",$T259&lt;&gt;"",$Y259=1),SUMPRODUCT(($A$8:$A259&lt;&gt;"")*($T$8:$T259&lt;&gt;"")*($Y$8:$Y259=1)),"")</f>
        <v/>
      </c>
    </row>
    <row r="260">
      <c r="A260" s="13" t="n"/>
      <c r="B260" s="13" t="n"/>
      <c r="C260" s="26" t="n"/>
      <c r="D260" s="26" t="n"/>
      <c r="E260" s="26" t="n"/>
      <c r="F260" s="13" t="n"/>
      <c r="G260" s="13" t="n"/>
      <c r="H260" s="13" t="n"/>
      <c r="I260" s="13" t="n"/>
      <c r="J260" s="23">
        <f>IF($A260="","",IFERROR(INDEX('Ref_Crosswalk'!$F$2:$F$500,MATCH($A260,'Ref_Crosswalk'!$A$2:$A$500,0)),"UNKNOWN"))</f>
        <v/>
      </c>
      <c r="K260" s="24">
        <f>IF($A260="","",IFERROR(INDEX('Ref_Tolerance'!$B$2:$B$9,MATCH($J260,'Ref_Tolerance'!$A$2:$A$9,0)),""))</f>
        <v/>
      </c>
      <c r="L260" s="23">
        <f>IF($A260="","",IFERROR(INDEX('Ref_Tolerance'!$D$2:$D$9,MATCH($J260,'Ref_Tolerance'!$A$2:$A$9,0)),""))</f>
        <v/>
      </c>
      <c r="M260" s="24">
        <f>IF($A260="","",IFERROR(ABS(N($D260))/N($C260),0))</f>
        <v/>
      </c>
      <c r="N260" s="24">
        <f>IF($A260="","",IFERROR(N($E260)/N($C260),0))</f>
        <v/>
      </c>
      <c r="O260" s="23">
        <f>IF($A260="",0,IFERROR(SUMPRODUCT(($A$8:$A$307=$A260)*($P$8:$P$307="FAIL")*($U$8:$U$307&gt;$V260)*($U$8:$U$307&lt;=$U260)),0))</f>
        <v/>
      </c>
      <c r="P260" s="23">
        <f>IF($A260="","",IFERROR(IF(NOT(ISNUMBER($K260)),"CHECK",IF($L260="MARGIN",IF($N260&lt;=$K260,"PASS","FAIL"),IF($M260&lt;=$K260,"PASS","FAIL"))),"CHECK"))</f>
        <v/>
      </c>
      <c r="Q260" s="23">
        <f>IF($A260="","",IFERROR(INDEX('Ref_Tolerance'!$E$2:$E$9,MATCH($J260,'Ref_Tolerance'!$A$2:$A$9,0)),""))</f>
        <v/>
      </c>
      <c r="R260" s="23">
        <f>IF($A260="","",IFERROR(IF($O260=0,"CLEAR",IF($O260=1,"MFR DUE - MANAGER",IF($O260=2,"MFR DUE - FSS/CC SIGNATURE REQUIRED","INVESTIGATION + REPORT OF SURVEY; MSG/CC NOTIFIED"))),""))</f>
        <v/>
      </c>
      <c r="S260" s="23">
        <f>IF($A260="","",IF($O260=2,"WATCH - ONE MORE MISS TRIGGERS INVESTIGATION",""))</f>
        <v/>
      </c>
      <c r="T260" s="23">
        <f>IF($A260="","",IFERROR(IF(AND($O260&gt;=1,$F260&lt;&gt;"Y"),"MFR NOT SUBMITTED",IF(AND($O260&gt;=2,$G260&lt;&gt;"Y"),"FSS/CC SIGNATURE MISSING",IF(AND($O260&gt;=3,$H260&lt;&gt;"Y"),"INVESTIGATION NOT OPENED",""))),""))</f>
        <v/>
      </c>
      <c r="U260" s="25">
        <f>IF($A260="",0,IFERROR(MATCH($B260,'Ref_Calendar'!$A$2:$A$500,0),0))</f>
        <v/>
      </c>
      <c r="V260" s="25">
        <f>IF($A260="",0,IFERROR(SUMPRODUCT(MAX(($A$8:$A$307=$A260)*($P$8:$P$307="PASS")*($U$8:$U$307&lt;=$U260)*$U$8:$U$307)),0))</f>
        <v/>
      </c>
      <c r="W260" s="25">
        <f>IF($A260="","",IFERROR(INDEX('Ref_Crosswalk'!$E$2:$E$500,MATCH($A260,'Ref_Crosswalk'!$A$2:$A$500,0)),""))</f>
        <v/>
      </c>
      <c r="X260" s="25">
        <f>IF($A260="","",IFERROR(INDEX('Ref_Crosswalk'!$C$2:$C$500,MATCH($A260,'Ref_Crosswalk'!$A$2:$A$500,0)),""))</f>
        <v/>
      </c>
      <c r="Y260" s="25">
        <f>IF($A260="",0,IF(AND(OR('Out_Dashboard'!$C$5="",$W260='Out_Dashboard'!$C$5),OR('Out_Dashboard'!$C$6="",$X260='Out_Dashboard'!$C$6),OR('Out_Dashboard'!$C$7="",$B260='Out_Dashboard'!$C$7)),1,0))</f>
        <v/>
      </c>
      <c r="Z260" s="25">
        <f>IF(AND($A260&lt;&gt;"",$S260&lt;&gt;"",$Y260=1),SUMPRODUCT(($A$8:$A260&lt;&gt;"")*($S$8:$S260&lt;&gt;"")*($Y$8:$Y260=1)),"")</f>
        <v/>
      </c>
      <c r="AA260" s="25">
        <f>IF(AND($A260&lt;&gt;"",$T260&lt;&gt;"",$Y260=1),SUMPRODUCT(($A$8:$A260&lt;&gt;"")*($T$8:$T260&lt;&gt;"")*($Y$8:$Y260=1)),"")</f>
        <v/>
      </c>
    </row>
    <row r="261">
      <c r="A261" s="13" t="n"/>
      <c r="B261" s="13" t="n"/>
      <c r="C261" s="26" t="n"/>
      <c r="D261" s="26" t="n"/>
      <c r="E261" s="26" t="n"/>
      <c r="F261" s="13" t="n"/>
      <c r="G261" s="13" t="n"/>
      <c r="H261" s="13" t="n"/>
      <c r="I261" s="13" t="n"/>
      <c r="J261" s="23">
        <f>IF($A261="","",IFERROR(INDEX('Ref_Crosswalk'!$F$2:$F$500,MATCH($A261,'Ref_Crosswalk'!$A$2:$A$500,0)),"UNKNOWN"))</f>
        <v/>
      </c>
      <c r="K261" s="24">
        <f>IF($A261="","",IFERROR(INDEX('Ref_Tolerance'!$B$2:$B$9,MATCH($J261,'Ref_Tolerance'!$A$2:$A$9,0)),""))</f>
        <v/>
      </c>
      <c r="L261" s="23">
        <f>IF($A261="","",IFERROR(INDEX('Ref_Tolerance'!$D$2:$D$9,MATCH($J261,'Ref_Tolerance'!$A$2:$A$9,0)),""))</f>
        <v/>
      </c>
      <c r="M261" s="24">
        <f>IF($A261="","",IFERROR(ABS(N($D261))/N($C261),0))</f>
        <v/>
      </c>
      <c r="N261" s="24">
        <f>IF($A261="","",IFERROR(N($E261)/N($C261),0))</f>
        <v/>
      </c>
      <c r="O261" s="23">
        <f>IF($A261="",0,IFERROR(SUMPRODUCT(($A$8:$A$307=$A261)*($P$8:$P$307="FAIL")*($U$8:$U$307&gt;$V261)*($U$8:$U$307&lt;=$U261)),0))</f>
        <v/>
      </c>
      <c r="P261" s="23">
        <f>IF($A261="","",IFERROR(IF(NOT(ISNUMBER($K261)),"CHECK",IF($L261="MARGIN",IF($N261&lt;=$K261,"PASS","FAIL"),IF($M261&lt;=$K261,"PASS","FAIL"))),"CHECK"))</f>
        <v/>
      </c>
      <c r="Q261" s="23">
        <f>IF($A261="","",IFERROR(INDEX('Ref_Tolerance'!$E$2:$E$9,MATCH($J261,'Ref_Tolerance'!$A$2:$A$9,0)),""))</f>
        <v/>
      </c>
      <c r="R261" s="23">
        <f>IF($A261="","",IFERROR(IF($O261=0,"CLEAR",IF($O261=1,"MFR DUE - MANAGER",IF($O261=2,"MFR DUE - FSS/CC SIGNATURE REQUIRED","INVESTIGATION + REPORT OF SURVEY; MSG/CC NOTIFIED"))),""))</f>
        <v/>
      </c>
      <c r="S261" s="23">
        <f>IF($A261="","",IF($O261=2,"WATCH - ONE MORE MISS TRIGGERS INVESTIGATION",""))</f>
        <v/>
      </c>
      <c r="T261" s="23">
        <f>IF($A261="","",IFERROR(IF(AND($O261&gt;=1,$F261&lt;&gt;"Y"),"MFR NOT SUBMITTED",IF(AND($O261&gt;=2,$G261&lt;&gt;"Y"),"FSS/CC SIGNATURE MISSING",IF(AND($O261&gt;=3,$H261&lt;&gt;"Y"),"INVESTIGATION NOT OPENED",""))),""))</f>
        <v/>
      </c>
      <c r="U261" s="25">
        <f>IF($A261="",0,IFERROR(MATCH($B261,'Ref_Calendar'!$A$2:$A$500,0),0))</f>
        <v/>
      </c>
      <c r="V261" s="25">
        <f>IF($A261="",0,IFERROR(SUMPRODUCT(MAX(($A$8:$A$307=$A261)*($P$8:$P$307="PASS")*($U$8:$U$307&lt;=$U261)*$U$8:$U$307)),0))</f>
        <v/>
      </c>
      <c r="W261" s="25">
        <f>IF($A261="","",IFERROR(INDEX('Ref_Crosswalk'!$E$2:$E$500,MATCH($A261,'Ref_Crosswalk'!$A$2:$A$500,0)),""))</f>
        <v/>
      </c>
      <c r="X261" s="25">
        <f>IF($A261="","",IFERROR(INDEX('Ref_Crosswalk'!$C$2:$C$500,MATCH($A261,'Ref_Crosswalk'!$A$2:$A$500,0)),""))</f>
        <v/>
      </c>
      <c r="Y261" s="25">
        <f>IF($A261="",0,IF(AND(OR('Out_Dashboard'!$C$5="",$W261='Out_Dashboard'!$C$5),OR('Out_Dashboard'!$C$6="",$X261='Out_Dashboard'!$C$6),OR('Out_Dashboard'!$C$7="",$B261='Out_Dashboard'!$C$7)),1,0))</f>
        <v/>
      </c>
      <c r="Z261" s="25">
        <f>IF(AND($A261&lt;&gt;"",$S261&lt;&gt;"",$Y261=1),SUMPRODUCT(($A$8:$A261&lt;&gt;"")*($S$8:$S261&lt;&gt;"")*($Y$8:$Y261=1)),"")</f>
        <v/>
      </c>
      <c r="AA261" s="25">
        <f>IF(AND($A261&lt;&gt;"",$T261&lt;&gt;"",$Y261=1),SUMPRODUCT(($A$8:$A261&lt;&gt;"")*($T$8:$T261&lt;&gt;"")*($Y$8:$Y261=1)),"")</f>
        <v/>
      </c>
    </row>
    <row r="262">
      <c r="A262" s="13" t="n"/>
      <c r="B262" s="13" t="n"/>
      <c r="C262" s="26" t="n"/>
      <c r="D262" s="26" t="n"/>
      <c r="E262" s="26" t="n"/>
      <c r="F262" s="13" t="n"/>
      <c r="G262" s="13" t="n"/>
      <c r="H262" s="13" t="n"/>
      <c r="I262" s="13" t="n"/>
      <c r="J262" s="23">
        <f>IF($A262="","",IFERROR(INDEX('Ref_Crosswalk'!$F$2:$F$500,MATCH($A262,'Ref_Crosswalk'!$A$2:$A$500,0)),"UNKNOWN"))</f>
        <v/>
      </c>
      <c r="K262" s="24">
        <f>IF($A262="","",IFERROR(INDEX('Ref_Tolerance'!$B$2:$B$9,MATCH($J262,'Ref_Tolerance'!$A$2:$A$9,0)),""))</f>
        <v/>
      </c>
      <c r="L262" s="23">
        <f>IF($A262="","",IFERROR(INDEX('Ref_Tolerance'!$D$2:$D$9,MATCH($J262,'Ref_Tolerance'!$A$2:$A$9,0)),""))</f>
        <v/>
      </c>
      <c r="M262" s="24">
        <f>IF($A262="","",IFERROR(ABS(N($D262))/N($C262),0))</f>
        <v/>
      </c>
      <c r="N262" s="24">
        <f>IF($A262="","",IFERROR(N($E262)/N($C262),0))</f>
        <v/>
      </c>
      <c r="O262" s="23">
        <f>IF($A262="",0,IFERROR(SUMPRODUCT(($A$8:$A$307=$A262)*($P$8:$P$307="FAIL")*($U$8:$U$307&gt;$V262)*($U$8:$U$307&lt;=$U262)),0))</f>
        <v/>
      </c>
      <c r="P262" s="23">
        <f>IF($A262="","",IFERROR(IF(NOT(ISNUMBER($K262)),"CHECK",IF($L262="MARGIN",IF($N262&lt;=$K262,"PASS","FAIL"),IF($M262&lt;=$K262,"PASS","FAIL"))),"CHECK"))</f>
        <v/>
      </c>
      <c r="Q262" s="23">
        <f>IF($A262="","",IFERROR(INDEX('Ref_Tolerance'!$E$2:$E$9,MATCH($J262,'Ref_Tolerance'!$A$2:$A$9,0)),""))</f>
        <v/>
      </c>
      <c r="R262" s="23">
        <f>IF($A262="","",IFERROR(IF($O262=0,"CLEAR",IF($O262=1,"MFR DUE - MANAGER",IF($O262=2,"MFR DUE - FSS/CC SIGNATURE REQUIRED","INVESTIGATION + REPORT OF SURVEY; MSG/CC NOTIFIED"))),""))</f>
        <v/>
      </c>
      <c r="S262" s="23">
        <f>IF($A262="","",IF($O262=2,"WATCH - ONE MORE MISS TRIGGERS INVESTIGATION",""))</f>
        <v/>
      </c>
      <c r="T262" s="23">
        <f>IF($A262="","",IFERROR(IF(AND($O262&gt;=1,$F262&lt;&gt;"Y"),"MFR NOT SUBMITTED",IF(AND($O262&gt;=2,$G262&lt;&gt;"Y"),"FSS/CC SIGNATURE MISSING",IF(AND($O262&gt;=3,$H262&lt;&gt;"Y"),"INVESTIGATION NOT OPENED",""))),""))</f>
        <v/>
      </c>
      <c r="U262" s="25">
        <f>IF($A262="",0,IFERROR(MATCH($B262,'Ref_Calendar'!$A$2:$A$500,0),0))</f>
        <v/>
      </c>
      <c r="V262" s="25">
        <f>IF($A262="",0,IFERROR(SUMPRODUCT(MAX(($A$8:$A$307=$A262)*($P$8:$P$307="PASS")*($U$8:$U$307&lt;=$U262)*$U$8:$U$307)),0))</f>
        <v/>
      </c>
      <c r="W262" s="25">
        <f>IF($A262="","",IFERROR(INDEX('Ref_Crosswalk'!$E$2:$E$500,MATCH($A262,'Ref_Crosswalk'!$A$2:$A$500,0)),""))</f>
        <v/>
      </c>
      <c r="X262" s="25">
        <f>IF($A262="","",IFERROR(INDEX('Ref_Crosswalk'!$C$2:$C$500,MATCH($A262,'Ref_Crosswalk'!$A$2:$A$500,0)),""))</f>
        <v/>
      </c>
      <c r="Y262" s="25">
        <f>IF($A262="",0,IF(AND(OR('Out_Dashboard'!$C$5="",$W262='Out_Dashboard'!$C$5),OR('Out_Dashboard'!$C$6="",$X262='Out_Dashboard'!$C$6),OR('Out_Dashboard'!$C$7="",$B262='Out_Dashboard'!$C$7)),1,0))</f>
        <v/>
      </c>
      <c r="Z262" s="25">
        <f>IF(AND($A262&lt;&gt;"",$S262&lt;&gt;"",$Y262=1),SUMPRODUCT(($A$8:$A262&lt;&gt;"")*($S$8:$S262&lt;&gt;"")*($Y$8:$Y262=1)),"")</f>
        <v/>
      </c>
      <c r="AA262" s="25">
        <f>IF(AND($A262&lt;&gt;"",$T262&lt;&gt;"",$Y262=1),SUMPRODUCT(($A$8:$A262&lt;&gt;"")*($T$8:$T262&lt;&gt;"")*($Y$8:$Y262=1)),"")</f>
        <v/>
      </c>
    </row>
    <row r="263">
      <c r="A263" s="13" t="n"/>
      <c r="B263" s="13" t="n"/>
      <c r="C263" s="26" t="n"/>
      <c r="D263" s="26" t="n"/>
      <c r="E263" s="26" t="n"/>
      <c r="F263" s="13" t="n"/>
      <c r="G263" s="13" t="n"/>
      <c r="H263" s="13" t="n"/>
      <c r="I263" s="13" t="n"/>
      <c r="J263" s="23">
        <f>IF($A263="","",IFERROR(INDEX('Ref_Crosswalk'!$F$2:$F$500,MATCH($A263,'Ref_Crosswalk'!$A$2:$A$500,0)),"UNKNOWN"))</f>
        <v/>
      </c>
      <c r="K263" s="24">
        <f>IF($A263="","",IFERROR(INDEX('Ref_Tolerance'!$B$2:$B$9,MATCH($J263,'Ref_Tolerance'!$A$2:$A$9,0)),""))</f>
        <v/>
      </c>
      <c r="L263" s="23">
        <f>IF($A263="","",IFERROR(INDEX('Ref_Tolerance'!$D$2:$D$9,MATCH($J263,'Ref_Tolerance'!$A$2:$A$9,0)),""))</f>
        <v/>
      </c>
      <c r="M263" s="24">
        <f>IF($A263="","",IFERROR(ABS(N($D263))/N($C263),0))</f>
        <v/>
      </c>
      <c r="N263" s="24">
        <f>IF($A263="","",IFERROR(N($E263)/N($C263),0))</f>
        <v/>
      </c>
      <c r="O263" s="23">
        <f>IF($A263="",0,IFERROR(SUMPRODUCT(($A$8:$A$307=$A263)*($P$8:$P$307="FAIL")*($U$8:$U$307&gt;$V263)*($U$8:$U$307&lt;=$U263)),0))</f>
        <v/>
      </c>
      <c r="P263" s="23">
        <f>IF($A263="","",IFERROR(IF(NOT(ISNUMBER($K263)),"CHECK",IF($L263="MARGIN",IF($N263&lt;=$K263,"PASS","FAIL"),IF($M263&lt;=$K263,"PASS","FAIL"))),"CHECK"))</f>
        <v/>
      </c>
      <c r="Q263" s="23">
        <f>IF($A263="","",IFERROR(INDEX('Ref_Tolerance'!$E$2:$E$9,MATCH($J263,'Ref_Tolerance'!$A$2:$A$9,0)),""))</f>
        <v/>
      </c>
      <c r="R263" s="23">
        <f>IF($A263="","",IFERROR(IF($O263=0,"CLEAR",IF($O263=1,"MFR DUE - MANAGER",IF($O263=2,"MFR DUE - FSS/CC SIGNATURE REQUIRED","INVESTIGATION + REPORT OF SURVEY; MSG/CC NOTIFIED"))),""))</f>
        <v/>
      </c>
      <c r="S263" s="23">
        <f>IF($A263="","",IF($O263=2,"WATCH - ONE MORE MISS TRIGGERS INVESTIGATION",""))</f>
        <v/>
      </c>
      <c r="T263" s="23">
        <f>IF($A263="","",IFERROR(IF(AND($O263&gt;=1,$F263&lt;&gt;"Y"),"MFR NOT SUBMITTED",IF(AND($O263&gt;=2,$G263&lt;&gt;"Y"),"FSS/CC SIGNATURE MISSING",IF(AND($O263&gt;=3,$H263&lt;&gt;"Y"),"INVESTIGATION NOT OPENED",""))),""))</f>
        <v/>
      </c>
      <c r="U263" s="25">
        <f>IF($A263="",0,IFERROR(MATCH($B263,'Ref_Calendar'!$A$2:$A$500,0),0))</f>
        <v/>
      </c>
      <c r="V263" s="25">
        <f>IF($A263="",0,IFERROR(SUMPRODUCT(MAX(($A$8:$A$307=$A263)*($P$8:$P$307="PASS")*($U$8:$U$307&lt;=$U263)*$U$8:$U$307)),0))</f>
        <v/>
      </c>
      <c r="W263" s="25">
        <f>IF($A263="","",IFERROR(INDEX('Ref_Crosswalk'!$E$2:$E$500,MATCH($A263,'Ref_Crosswalk'!$A$2:$A$500,0)),""))</f>
        <v/>
      </c>
      <c r="X263" s="25">
        <f>IF($A263="","",IFERROR(INDEX('Ref_Crosswalk'!$C$2:$C$500,MATCH($A263,'Ref_Crosswalk'!$A$2:$A$500,0)),""))</f>
        <v/>
      </c>
      <c r="Y263" s="25">
        <f>IF($A263="",0,IF(AND(OR('Out_Dashboard'!$C$5="",$W263='Out_Dashboard'!$C$5),OR('Out_Dashboard'!$C$6="",$X263='Out_Dashboard'!$C$6),OR('Out_Dashboard'!$C$7="",$B263='Out_Dashboard'!$C$7)),1,0))</f>
        <v/>
      </c>
      <c r="Z263" s="25">
        <f>IF(AND($A263&lt;&gt;"",$S263&lt;&gt;"",$Y263=1),SUMPRODUCT(($A$8:$A263&lt;&gt;"")*($S$8:$S263&lt;&gt;"")*($Y$8:$Y263=1)),"")</f>
        <v/>
      </c>
      <c r="AA263" s="25">
        <f>IF(AND($A263&lt;&gt;"",$T263&lt;&gt;"",$Y263=1),SUMPRODUCT(($A$8:$A263&lt;&gt;"")*($T$8:$T263&lt;&gt;"")*($Y$8:$Y263=1)),"")</f>
        <v/>
      </c>
    </row>
    <row r="264">
      <c r="A264" s="13" t="n"/>
      <c r="B264" s="13" t="n"/>
      <c r="C264" s="26" t="n"/>
      <c r="D264" s="26" t="n"/>
      <c r="E264" s="26" t="n"/>
      <c r="F264" s="13" t="n"/>
      <c r="G264" s="13" t="n"/>
      <c r="H264" s="13" t="n"/>
      <c r="I264" s="13" t="n"/>
      <c r="J264" s="23">
        <f>IF($A264="","",IFERROR(INDEX('Ref_Crosswalk'!$F$2:$F$500,MATCH($A264,'Ref_Crosswalk'!$A$2:$A$500,0)),"UNKNOWN"))</f>
        <v/>
      </c>
      <c r="K264" s="24">
        <f>IF($A264="","",IFERROR(INDEX('Ref_Tolerance'!$B$2:$B$9,MATCH($J264,'Ref_Tolerance'!$A$2:$A$9,0)),""))</f>
        <v/>
      </c>
      <c r="L264" s="23">
        <f>IF($A264="","",IFERROR(INDEX('Ref_Tolerance'!$D$2:$D$9,MATCH($J264,'Ref_Tolerance'!$A$2:$A$9,0)),""))</f>
        <v/>
      </c>
      <c r="M264" s="24">
        <f>IF($A264="","",IFERROR(ABS(N($D264))/N($C264),0))</f>
        <v/>
      </c>
      <c r="N264" s="24">
        <f>IF($A264="","",IFERROR(N($E264)/N($C264),0))</f>
        <v/>
      </c>
      <c r="O264" s="23">
        <f>IF($A264="",0,IFERROR(SUMPRODUCT(($A$8:$A$307=$A264)*($P$8:$P$307="FAIL")*($U$8:$U$307&gt;$V264)*($U$8:$U$307&lt;=$U264)),0))</f>
        <v/>
      </c>
      <c r="P264" s="23">
        <f>IF($A264="","",IFERROR(IF(NOT(ISNUMBER($K264)),"CHECK",IF($L264="MARGIN",IF($N264&lt;=$K264,"PASS","FAIL"),IF($M264&lt;=$K264,"PASS","FAIL"))),"CHECK"))</f>
        <v/>
      </c>
      <c r="Q264" s="23">
        <f>IF($A264="","",IFERROR(INDEX('Ref_Tolerance'!$E$2:$E$9,MATCH($J264,'Ref_Tolerance'!$A$2:$A$9,0)),""))</f>
        <v/>
      </c>
      <c r="R264" s="23">
        <f>IF($A264="","",IFERROR(IF($O264=0,"CLEAR",IF($O264=1,"MFR DUE - MANAGER",IF($O264=2,"MFR DUE - FSS/CC SIGNATURE REQUIRED","INVESTIGATION + REPORT OF SURVEY; MSG/CC NOTIFIED"))),""))</f>
        <v/>
      </c>
      <c r="S264" s="23">
        <f>IF($A264="","",IF($O264=2,"WATCH - ONE MORE MISS TRIGGERS INVESTIGATION",""))</f>
        <v/>
      </c>
      <c r="T264" s="23">
        <f>IF($A264="","",IFERROR(IF(AND($O264&gt;=1,$F264&lt;&gt;"Y"),"MFR NOT SUBMITTED",IF(AND($O264&gt;=2,$G264&lt;&gt;"Y"),"FSS/CC SIGNATURE MISSING",IF(AND($O264&gt;=3,$H264&lt;&gt;"Y"),"INVESTIGATION NOT OPENED",""))),""))</f>
        <v/>
      </c>
      <c r="U264" s="25">
        <f>IF($A264="",0,IFERROR(MATCH($B264,'Ref_Calendar'!$A$2:$A$500,0),0))</f>
        <v/>
      </c>
      <c r="V264" s="25">
        <f>IF($A264="",0,IFERROR(SUMPRODUCT(MAX(($A$8:$A$307=$A264)*($P$8:$P$307="PASS")*($U$8:$U$307&lt;=$U264)*$U$8:$U$307)),0))</f>
        <v/>
      </c>
      <c r="W264" s="25">
        <f>IF($A264="","",IFERROR(INDEX('Ref_Crosswalk'!$E$2:$E$500,MATCH($A264,'Ref_Crosswalk'!$A$2:$A$500,0)),""))</f>
        <v/>
      </c>
      <c r="X264" s="25">
        <f>IF($A264="","",IFERROR(INDEX('Ref_Crosswalk'!$C$2:$C$500,MATCH($A264,'Ref_Crosswalk'!$A$2:$A$500,0)),""))</f>
        <v/>
      </c>
      <c r="Y264" s="25">
        <f>IF($A264="",0,IF(AND(OR('Out_Dashboard'!$C$5="",$W264='Out_Dashboard'!$C$5),OR('Out_Dashboard'!$C$6="",$X264='Out_Dashboard'!$C$6),OR('Out_Dashboard'!$C$7="",$B264='Out_Dashboard'!$C$7)),1,0))</f>
        <v/>
      </c>
      <c r="Z264" s="25">
        <f>IF(AND($A264&lt;&gt;"",$S264&lt;&gt;"",$Y264=1),SUMPRODUCT(($A$8:$A264&lt;&gt;"")*($S$8:$S264&lt;&gt;"")*($Y$8:$Y264=1)),"")</f>
        <v/>
      </c>
      <c r="AA264" s="25">
        <f>IF(AND($A264&lt;&gt;"",$T264&lt;&gt;"",$Y264=1),SUMPRODUCT(($A$8:$A264&lt;&gt;"")*($T$8:$T264&lt;&gt;"")*($Y$8:$Y264=1)),"")</f>
        <v/>
      </c>
    </row>
    <row r="265">
      <c r="A265" s="13" t="n"/>
      <c r="B265" s="13" t="n"/>
      <c r="C265" s="26" t="n"/>
      <c r="D265" s="26" t="n"/>
      <c r="E265" s="26" t="n"/>
      <c r="F265" s="13" t="n"/>
      <c r="G265" s="13" t="n"/>
      <c r="H265" s="13" t="n"/>
      <c r="I265" s="13" t="n"/>
      <c r="J265" s="23">
        <f>IF($A265="","",IFERROR(INDEX('Ref_Crosswalk'!$F$2:$F$500,MATCH($A265,'Ref_Crosswalk'!$A$2:$A$500,0)),"UNKNOWN"))</f>
        <v/>
      </c>
      <c r="K265" s="24">
        <f>IF($A265="","",IFERROR(INDEX('Ref_Tolerance'!$B$2:$B$9,MATCH($J265,'Ref_Tolerance'!$A$2:$A$9,0)),""))</f>
        <v/>
      </c>
      <c r="L265" s="23">
        <f>IF($A265="","",IFERROR(INDEX('Ref_Tolerance'!$D$2:$D$9,MATCH($J265,'Ref_Tolerance'!$A$2:$A$9,0)),""))</f>
        <v/>
      </c>
      <c r="M265" s="24">
        <f>IF($A265="","",IFERROR(ABS(N($D265))/N($C265),0))</f>
        <v/>
      </c>
      <c r="N265" s="24">
        <f>IF($A265="","",IFERROR(N($E265)/N($C265),0))</f>
        <v/>
      </c>
      <c r="O265" s="23">
        <f>IF($A265="",0,IFERROR(SUMPRODUCT(($A$8:$A$307=$A265)*($P$8:$P$307="FAIL")*($U$8:$U$307&gt;$V265)*($U$8:$U$307&lt;=$U265)),0))</f>
        <v/>
      </c>
      <c r="P265" s="23">
        <f>IF($A265="","",IFERROR(IF(NOT(ISNUMBER($K265)),"CHECK",IF($L265="MARGIN",IF($N265&lt;=$K265,"PASS","FAIL"),IF($M265&lt;=$K265,"PASS","FAIL"))),"CHECK"))</f>
        <v/>
      </c>
      <c r="Q265" s="23">
        <f>IF($A265="","",IFERROR(INDEX('Ref_Tolerance'!$E$2:$E$9,MATCH($J265,'Ref_Tolerance'!$A$2:$A$9,0)),""))</f>
        <v/>
      </c>
      <c r="R265" s="23">
        <f>IF($A265="","",IFERROR(IF($O265=0,"CLEAR",IF($O265=1,"MFR DUE - MANAGER",IF($O265=2,"MFR DUE - FSS/CC SIGNATURE REQUIRED","INVESTIGATION + REPORT OF SURVEY; MSG/CC NOTIFIED"))),""))</f>
        <v/>
      </c>
      <c r="S265" s="23">
        <f>IF($A265="","",IF($O265=2,"WATCH - ONE MORE MISS TRIGGERS INVESTIGATION",""))</f>
        <v/>
      </c>
      <c r="T265" s="23">
        <f>IF($A265="","",IFERROR(IF(AND($O265&gt;=1,$F265&lt;&gt;"Y"),"MFR NOT SUBMITTED",IF(AND($O265&gt;=2,$G265&lt;&gt;"Y"),"FSS/CC SIGNATURE MISSING",IF(AND($O265&gt;=3,$H265&lt;&gt;"Y"),"INVESTIGATION NOT OPENED",""))),""))</f>
        <v/>
      </c>
      <c r="U265" s="25">
        <f>IF($A265="",0,IFERROR(MATCH($B265,'Ref_Calendar'!$A$2:$A$500,0),0))</f>
        <v/>
      </c>
      <c r="V265" s="25">
        <f>IF($A265="",0,IFERROR(SUMPRODUCT(MAX(($A$8:$A$307=$A265)*($P$8:$P$307="PASS")*($U$8:$U$307&lt;=$U265)*$U$8:$U$307)),0))</f>
        <v/>
      </c>
      <c r="W265" s="25">
        <f>IF($A265="","",IFERROR(INDEX('Ref_Crosswalk'!$E$2:$E$500,MATCH($A265,'Ref_Crosswalk'!$A$2:$A$500,0)),""))</f>
        <v/>
      </c>
      <c r="X265" s="25">
        <f>IF($A265="","",IFERROR(INDEX('Ref_Crosswalk'!$C$2:$C$500,MATCH($A265,'Ref_Crosswalk'!$A$2:$A$500,0)),""))</f>
        <v/>
      </c>
      <c r="Y265" s="25">
        <f>IF($A265="",0,IF(AND(OR('Out_Dashboard'!$C$5="",$W265='Out_Dashboard'!$C$5),OR('Out_Dashboard'!$C$6="",$X265='Out_Dashboard'!$C$6),OR('Out_Dashboard'!$C$7="",$B265='Out_Dashboard'!$C$7)),1,0))</f>
        <v/>
      </c>
      <c r="Z265" s="25">
        <f>IF(AND($A265&lt;&gt;"",$S265&lt;&gt;"",$Y265=1),SUMPRODUCT(($A$8:$A265&lt;&gt;"")*($S$8:$S265&lt;&gt;"")*($Y$8:$Y265=1)),"")</f>
        <v/>
      </c>
      <c r="AA265" s="25">
        <f>IF(AND($A265&lt;&gt;"",$T265&lt;&gt;"",$Y265=1),SUMPRODUCT(($A$8:$A265&lt;&gt;"")*($T$8:$T265&lt;&gt;"")*($Y$8:$Y265=1)),"")</f>
        <v/>
      </c>
    </row>
    <row r="266">
      <c r="A266" s="13" t="n"/>
      <c r="B266" s="13" t="n"/>
      <c r="C266" s="26" t="n"/>
      <c r="D266" s="26" t="n"/>
      <c r="E266" s="26" t="n"/>
      <c r="F266" s="13" t="n"/>
      <c r="G266" s="13" t="n"/>
      <c r="H266" s="13" t="n"/>
      <c r="I266" s="13" t="n"/>
      <c r="J266" s="23">
        <f>IF($A266="","",IFERROR(INDEX('Ref_Crosswalk'!$F$2:$F$500,MATCH($A266,'Ref_Crosswalk'!$A$2:$A$500,0)),"UNKNOWN"))</f>
        <v/>
      </c>
      <c r="K266" s="24">
        <f>IF($A266="","",IFERROR(INDEX('Ref_Tolerance'!$B$2:$B$9,MATCH($J266,'Ref_Tolerance'!$A$2:$A$9,0)),""))</f>
        <v/>
      </c>
      <c r="L266" s="23">
        <f>IF($A266="","",IFERROR(INDEX('Ref_Tolerance'!$D$2:$D$9,MATCH($J266,'Ref_Tolerance'!$A$2:$A$9,0)),""))</f>
        <v/>
      </c>
      <c r="M266" s="24">
        <f>IF($A266="","",IFERROR(ABS(N($D266))/N($C266),0))</f>
        <v/>
      </c>
      <c r="N266" s="24">
        <f>IF($A266="","",IFERROR(N($E266)/N($C266),0))</f>
        <v/>
      </c>
      <c r="O266" s="23">
        <f>IF($A266="",0,IFERROR(SUMPRODUCT(($A$8:$A$307=$A266)*($P$8:$P$307="FAIL")*($U$8:$U$307&gt;$V266)*($U$8:$U$307&lt;=$U266)),0))</f>
        <v/>
      </c>
      <c r="P266" s="23">
        <f>IF($A266="","",IFERROR(IF(NOT(ISNUMBER($K266)),"CHECK",IF($L266="MARGIN",IF($N266&lt;=$K266,"PASS","FAIL"),IF($M266&lt;=$K266,"PASS","FAIL"))),"CHECK"))</f>
        <v/>
      </c>
      <c r="Q266" s="23">
        <f>IF($A266="","",IFERROR(INDEX('Ref_Tolerance'!$E$2:$E$9,MATCH($J266,'Ref_Tolerance'!$A$2:$A$9,0)),""))</f>
        <v/>
      </c>
      <c r="R266" s="23">
        <f>IF($A266="","",IFERROR(IF($O266=0,"CLEAR",IF($O266=1,"MFR DUE - MANAGER",IF($O266=2,"MFR DUE - FSS/CC SIGNATURE REQUIRED","INVESTIGATION + REPORT OF SURVEY; MSG/CC NOTIFIED"))),""))</f>
        <v/>
      </c>
      <c r="S266" s="23">
        <f>IF($A266="","",IF($O266=2,"WATCH - ONE MORE MISS TRIGGERS INVESTIGATION",""))</f>
        <v/>
      </c>
      <c r="T266" s="23">
        <f>IF($A266="","",IFERROR(IF(AND($O266&gt;=1,$F266&lt;&gt;"Y"),"MFR NOT SUBMITTED",IF(AND($O266&gt;=2,$G266&lt;&gt;"Y"),"FSS/CC SIGNATURE MISSING",IF(AND($O266&gt;=3,$H266&lt;&gt;"Y"),"INVESTIGATION NOT OPENED",""))),""))</f>
        <v/>
      </c>
      <c r="U266" s="25">
        <f>IF($A266="",0,IFERROR(MATCH($B266,'Ref_Calendar'!$A$2:$A$500,0),0))</f>
        <v/>
      </c>
      <c r="V266" s="25">
        <f>IF($A266="",0,IFERROR(SUMPRODUCT(MAX(($A$8:$A$307=$A266)*($P$8:$P$307="PASS")*($U$8:$U$307&lt;=$U266)*$U$8:$U$307)),0))</f>
        <v/>
      </c>
      <c r="W266" s="25">
        <f>IF($A266="","",IFERROR(INDEX('Ref_Crosswalk'!$E$2:$E$500,MATCH($A266,'Ref_Crosswalk'!$A$2:$A$500,0)),""))</f>
        <v/>
      </c>
      <c r="X266" s="25">
        <f>IF($A266="","",IFERROR(INDEX('Ref_Crosswalk'!$C$2:$C$500,MATCH($A266,'Ref_Crosswalk'!$A$2:$A$500,0)),""))</f>
        <v/>
      </c>
      <c r="Y266" s="25">
        <f>IF($A266="",0,IF(AND(OR('Out_Dashboard'!$C$5="",$W266='Out_Dashboard'!$C$5),OR('Out_Dashboard'!$C$6="",$X266='Out_Dashboard'!$C$6),OR('Out_Dashboard'!$C$7="",$B266='Out_Dashboard'!$C$7)),1,0))</f>
        <v/>
      </c>
      <c r="Z266" s="25">
        <f>IF(AND($A266&lt;&gt;"",$S266&lt;&gt;"",$Y266=1),SUMPRODUCT(($A$8:$A266&lt;&gt;"")*($S$8:$S266&lt;&gt;"")*($Y$8:$Y266=1)),"")</f>
        <v/>
      </c>
      <c r="AA266" s="25">
        <f>IF(AND($A266&lt;&gt;"",$T266&lt;&gt;"",$Y266=1),SUMPRODUCT(($A$8:$A266&lt;&gt;"")*($T$8:$T266&lt;&gt;"")*($Y$8:$Y266=1)),"")</f>
        <v/>
      </c>
    </row>
    <row r="267">
      <c r="A267" s="13" t="n"/>
      <c r="B267" s="13" t="n"/>
      <c r="C267" s="26" t="n"/>
      <c r="D267" s="26" t="n"/>
      <c r="E267" s="26" t="n"/>
      <c r="F267" s="13" t="n"/>
      <c r="G267" s="13" t="n"/>
      <c r="H267" s="13" t="n"/>
      <c r="I267" s="13" t="n"/>
      <c r="J267" s="23">
        <f>IF($A267="","",IFERROR(INDEX('Ref_Crosswalk'!$F$2:$F$500,MATCH($A267,'Ref_Crosswalk'!$A$2:$A$500,0)),"UNKNOWN"))</f>
        <v/>
      </c>
      <c r="K267" s="24">
        <f>IF($A267="","",IFERROR(INDEX('Ref_Tolerance'!$B$2:$B$9,MATCH($J267,'Ref_Tolerance'!$A$2:$A$9,0)),""))</f>
        <v/>
      </c>
      <c r="L267" s="23">
        <f>IF($A267="","",IFERROR(INDEX('Ref_Tolerance'!$D$2:$D$9,MATCH($J267,'Ref_Tolerance'!$A$2:$A$9,0)),""))</f>
        <v/>
      </c>
      <c r="M267" s="24">
        <f>IF($A267="","",IFERROR(ABS(N($D267))/N($C267),0))</f>
        <v/>
      </c>
      <c r="N267" s="24">
        <f>IF($A267="","",IFERROR(N($E267)/N($C267),0))</f>
        <v/>
      </c>
      <c r="O267" s="23">
        <f>IF($A267="",0,IFERROR(SUMPRODUCT(($A$8:$A$307=$A267)*($P$8:$P$307="FAIL")*($U$8:$U$307&gt;$V267)*($U$8:$U$307&lt;=$U267)),0))</f>
        <v/>
      </c>
      <c r="P267" s="23">
        <f>IF($A267="","",IFERROR(IF(NOT(ISNUMBER($K267)),"CHECK",IF($L267="MARGIN",IF($N267&lt;=$K267,"PASS","FAIL"),IF($M267&lt;=$K267,"PASS","FAIL"))),"CHECK"))</f>
        <v/>
      </c>
      <c r="Q267" s="23">
        <f>IF($A267="","",IFERROR(INDEX('Ref_Tolerance'!$E$2:$E$9,MATCH($J267,'Ref_Tolerance'!$A$2:$A$9,0)),""))</f>
        <v/>
      </c>
      <c r="R267" s="23">
        <f>IF($A267="","",IFERROR(IF($O267=0,"CLEAR",IF($O267=1,"MFR DUE - MANAGER",IF($O267=2,"MFR DUE - FSS/CC SIGNATURE REQUIRED","INVESTIGATION + REPORT OF SURVEY; MSG/CC NOTIFIED"))),""))</f>
        <v/>
      </c>
      <c r="S267" s="23">
        <f>IF($A267="","",IF($O267=2,"WATCH - ONE MORE MISS TRIGGERS INVESTIGATION",""))</f>
        <v/>
      </c>
      <c r="T267" s="23">
        <f>IF($A267="","",IFERROR(IF(AND($O267&gt;=1,$F267&lt;&gt;"Y"),"MFR NOT SUBMITTED",IF(AND($O267&gt;=2,$G267&lt;&gt;"Y"),"FSS/CC SIGNATURE MISSING",IF(AND($O267&gt;=3,$H267&lt;&gt;"Y"),"INVESTIGATION NOT OPENED",""))),""))</f>
        <v/>
      </c>
      <c r="U267" s="25">
        <f>IF($A267="",0,IFERROR(MATCH($B267,'Ref_Calendar'!$A$2:$A$500,0),0))</f>
        <v/>
      </c>
      <c r="V267" s="25">
        <f>IF($A267="",0,IFERROR(SUMPRODUCT(MAX(($A$8:$A$307=$A267)*($P$8:$P$307="PASS")*($U$8:$U$307&lt;=$U267)*$U$8:$U$307)),0))</f>
        <v/>
      </c>
      <c r="W267" s="25">
        <f>IF($A267="","",IFERROR(INDEX('Ref_Crosswalk'!$E$2:$E$500,MATCH($A267,'Ref_Crosswalk'!$A$2:$A$500,0)),""))</f>
        <v/>
      </c>
      <c r="X267" s="25">
        <f>IF($A267="","",IFERROR(INDEX('Ref_Crosswalk'!$C$2:$C$500,MATCH($A267,'Ref_Crosswalk'!$A$2:$A$500,0)),""))</f>
        <v/>
      </c>
      <c r="Y267" s="25">
        <f>IF($A267="",0,IF(AND(OR('Out_Dashboard'!$C$5="",$W267='Out_Dashboard'!$C$5),OR('Out_Dashboard'!$C$6="",$X267='Out_Dashboard'!$C$6),OR('Out_Dashboard'!$C$7="",$B267='Out_Dashboard'!$C$7)),1,0))</f>
        <v/>
      </c>
      <c r="Z267" s="25">
        <f>IF(AND($A267&lt;&gt;"",$S267&lt;&gt;"",$Y267=1),SUMPRODUCT(($A$8:$A267&lt;&gt;"")*($S$8:$S267&lt;&gt;"")*($Y$8:$Y267=1)),"")</f>
        <v/>
      </c>
      <c r="AA267" s="25">
        <f>IF(AND($A267&lt;&gt;"",$T267&lt;&gt;"",$Y267=1),SUMPRODUCT(($A$8:$A267&lt;&gt;"")*($T$8:$T267&lt;&gt;"")*($Y$8:$Y267=1)),"")</f>
        <v/>
      </c>
    </row>
    <row r="268">
      <c r="A268" s="13" t="n"/>
      <c r="B268" s="13" t="n"/>
      <c r="C268" s="26" t="n"/>
      <c r="D268" s="26" t="n"/>
      <c r="E268" s="26" t="n"/>
      <c r="F268" s="13" t="n"/>
      <c r="G268" s="13" t="n"/>
      <c r="H268" s="13" t="n"/>
      <c r="I268" s="13" t="n"/>
      <c r="J268" s="23">
        <f>IF($A268="","",IFERROR(INDEX('Ref_Crosswalk'!$F$2:$F$500,MATCH($A268,'Ref_Crosswalk'!$A$2:$A$500,0)),"UNKNOWN"))</f>
        <v/>
      </c>
      <c r="K268" s="24">
        <f>IF($A268="","",IFERROR(INDEX('Ref_Tolerance'!$B$2:$B$9,MATCH($J268,'Ref_Tolerance'!$A$2:$A$9,0)),""))</f>
        <v/>
      </c>
      <c r="L268" s="23">
        <f>IF($A268="","",IFERROR(INDEX('Ref_Tolerance'!$D$2:$D$9,MATCH($J268,'Ref_Tolerance'!$A$2:$A$9,0)),""))</f>
        <v/>
      </c>
      <c r="M268" s="24">
        <f>IF($A268="","",IFERROR(ABS(N($D268))/N($C268),0))</f>
        <v/>
      </c>
      <c r="N268" s="24">
        <f>IF($A268="","",IFERROR(N($E268)/N($C268),0))</f>
        <v/>
      </c>
      <c r="O268" s="23">
        <f>IF($A268="",0,IFERROR(SUMPRODUCT(($A$8:$A$307=$A268)*($P$8:$P$307="FAIL")*($U$8:$U$307&gt;$V268)*($U$8:$U$307&lt;=$U268)),0))</f>
        <v/>
      </c>
      <c r="P268" s="23">
        <f>IF($A268="","",IFERROR(IF(NOT(ISNUMBER($K268)),"CHECK",IF($L268="MARGIN",IF($N268&lt;=$K268,"PASS","FAIL"),IF($M268&lt;=$K268,"PASS","FAIL"))),"CHECK"))</f>
        <v/>
      </c>
      <c r="Q268" s="23">
        <f>IF($A268="","",IFERROR(INDEX('Ref_Tolerance'!$E$2:$E$9,MATCH($J268,'Ref_Tolerance'!$A$2:$A$9,0)),""))</f>
        <v/>
      </c>
      <c r="R268" s="23">
        <f>IF($A268="","",IFERROR(IF($O268=0,"CLEAR",IF($O268=1,"MFR DUE - MANAGER",IF($O268=2,"MFR DUE - FSS/CC SIGNATURE REQUIRED","INVESTIGATION + REPORT OF SURVEY; MSG/CC NOTIFIED"))),""))</f>
        <v/>
      </c>
      <c r="S268" s="23">
        <f>IF($A268="","",IF($O268=2,"WATCH - ONE MORE MISS TRIGGERS INVESTIGATION",""))</f>
        <v/>
      </c>
      <c r="T268" s="23">
        <f>IF($A268="","",IFERROR(IF(AND($O268&gt;=1,$F268&lt;&gt;"Y"),"MFR NOT SUBMITTED",IF(AND($O268&gt;=2,$G268&lt;&gt;"Y"),"FSS/CC SIGNATURE MISSING",IF(AND($O268&gt;=3,$H268&lt;&gt;"Y"),"INVESTIGATION NOT OPENED",""))),""))</f>
        <v/>
      </c>
      <c r="U268" s="25">
        <f>IF($A268="",0,IFERROR(MATCH($B268,'Ref_Calendar'!$A$2:$A$500,0),0))</f>
        <v/>
      </c>
      <c r="V268" s="25">
        <f>IF($A268="",0,IFERROR(SUMPRODUCT(MAX(($A$8:$A$307=$A268)*($P$8:$P$307="PASS")*($U$8:$U$307&lt;=$U268)*$U$8:$U$307)),0))</f>
        <v/>
      </c>
      <c r="W268" s="25">
        <f>IF($A268="","",IFERROR(INDEX('Ref_Crosswalk'!$E$2:$E$500,MATCH($A268,'Ref_Crosswalk'!$A$2:$A$500,0)),""))</f>
        <v/>
      </c>
      <c r="X268" s="25">
        <f>IF($A268="","",IFERROR(INDEX('Ref_Crosswalk'!$C$2:$C$500,MATCH($A268,'Ref_Crosswalk'!$A$2:$A$500,0)),""))</f>
        <v/>
      </c>
      <c r="Y268" s="25">
        <f>IF($A268="",0,IF(AND(OR('Out_Dashboard'!$C$5="",$W268='Out_Dashboard'!$C$5),OR('Out_Dashboard'!$C$6="",$X268='Out_Dashboard'!$C$6),OR('Out_Dashboard'!$C$7="",$B268='Out_Dashboard'!$C$7)),1,0))</f>
        <v/>
      </c>
      <c r="Z268" s="25">
        <f>IF(AND($A268&lt;&gt;"",$S268&lt;&gt;"",$Y268=1),SUMPRODUCT(($A$8:$A268&lt;&gt;"")*($S$8:$S268&lt;&gt;"")*($Y$8:$Y268=1)),"")</f>
        <v/>
      </c>
      <c r="AA268" s="25">
        <f>IF(AND($A268&lt;&gt;"",$T268&lt;&gt;"",$Y268=1),SUMPRODUCT(($A$8:$A268&lt;&gt;"")*($T$8:$T268&lt;&gt;"")*($Y$8:$Y268=1)),"")</f>
        <v/>
      </c>
    </row>
    <row r="269">
      <c r="A269" s="13" t="n"/>
      <c r="B269" s="13" t="n"/>
      <c r="C269" s="26" t="n"/>
      <c r="D269" s="26" t="n"/>
      <c r="E269" s="26" t="n"/>
      <c r="F269" s="13" t="n"/>
      <c r="G269" s="13" t="n"/>
      <c r="H269" s="13" t="n"/>
      <c r="I269" s="13" t="n"/>
      <c r="J269" s="23">
        <f>IF($A269="","",IFERROR(INDEX('Ref_Crosswalk'!$F$2:$F$500,MATCH($A269,'Ref_Crosswalk'!$A$2:$A$500,0)),"UNKNOWN"))</f>
        <v/>
      </c>
      <c r="K269" s="24">
        <f>IF($A269="","",IFERROR(INDEX('Ref_Tolerance'!$B$2:$B$9,MATCH($J269,'Ref_Tolerance'!$A$2:$A$9,0)),""))</f>
        <v/>
      </c>
      <c r="L269" s="23">
        <f>IF($A269="","",IFERROR(INDEX('Ref_Tolerance'!$D$2:$D$9,MATCH($J269,'Ref_Tolerance'!$A$2:$A$9,0)),""))</f>
        <v/>
      </c>
      <c r="M269" s="24">
        <f>IF($A269="","",IFERROR(ABS(N($D269))/N($C269),0))</f>
        <v/>
      </c>
      <c r="N269" s="24">
        <f>IF($A269="","",IFERROR(N($E269)/N($C269),0))</f>
        <v/>
      </c>
      <c r="O269" s="23">
        <f>IF($A269="",0,IFERROR(SUMPRODUCT(($A$8:$A$307=$A269)*($P$8:$P$307="FAIL")*($U$8:$U$307&gt;$V269)*($U$8:$U$307&lt;=$U269)),0))</f>
        <v/>
      </c>
      <c r="P269" s="23">
        <f>IF($A269="","",IFERROR(IF(NOT(ISNUMBER($K269)),"CHECK",IF($L269="MARGIN",IF($N269&lt;=$K269,"PASS","FAIL"),IF($M269&lt;=$K269,"PASS","FAIL"))),"CHECK"))</f>
        <v/>
      </c>
      <c r="Q269" s="23">
        <f>IF($A269="","",IFERROR(INDEX('Ref_Tolerance'!$E$2:$E$9,MATCH($J269,'Ref_Tolerance'!$A$2:$A$9,0)),""))</f>
        <v/>
      </c>
      <c r="R269" s="23">
        <f>IF($A269="","",IFERROR(IF($O269=0,"CLEAR",IF($O269=1,"MFR DUE - MANAGER",IF($O269=2,"MFR DUE - FSS/CC SIGNATURE REQUIRED","INVESTIGATION + REPORT OF SURVEY; MSG/CC NOTIFIED"))),""))</f>
        <v/>
      </c>
      <c r="S269" s="23">
        <f>IF($A269="","",IF($O269=2,"WATCH - ONE MORE MISS TRIGGERS INVESTIGATION",""))</f>
        <v/>
      </c>
      <c r="T269" s="23">
        <f>IF($A269="","",IFERROR(IF(AND($O269&gt;=1,$F269&lt;&gt;"Y"),"MFR NOT SUBMITTED",IF(AND($O269&gt;=2,$G269&lt;&gt;"Y"),"FSS/CC SIGNATURE MISSING",IF(AND($O269&gt;=3,$H269&lt;&gt;"Y"),"INVESTIGATION NOT OPENED",""))),""))</f>
        <v/>
      </c>
      <c r="U269" s="25">
        <f>IF($A269="",0,IFERROR(MATCH($B269,'Ref_Calendar'!$A$2:$A$500,0),0))</f>
        <v/>
      </c>
      <c r="V269" s="25">
        <f>IF($A269="",0,IFERROR(SUMPRODUCT(MAX(($A$8:$A$307=$A269)*($P$8:$P$307="PASS")*($U$8:$U$307&lt;=$U269)*$U$8:$U$307)),0))</f>
        <v/>
      </c>
      <c r="W269" s="25">
        <f>IF($A269="","",IFERROR(INDEX('Ref_Crosswalk'!$E$2:$E$500,MATCH($A269,'Ref_Crosswalk'!$A$2:$A$500,0)),""))</f>
        <v/>
      </c>
      <c r="X269" s="25">
        <f>IF($A269="","",IFERROR(INDEX('Ref_Crosswalk'!$C$2:$C$500,MATCH($A269,'Ref_Crosswalk'!$A$2:$A$500,0)),""))</f>
        <v/>
      </c>
      <c r="Y269" s="25">
        <f>IF($A269="",0,IF(AND(OR('Out_Dashboard'!$C$5="",$W269='Out_Dashboard'!$C$5),OR('Out_Dashboard'!$C$6="",$X269='Out_Dashboard'!$C$6),OR('Out_Dashboard'!$C$7="",$B269='Out_Dashboard'!$C$7)),1,0))</f>
        <v/>
      </c>
      <c r="Z269" s="25">
        <f>IF(AND($A269&lt;&gt;"",$S269&lt;&gt;"",$Y269=1),SUMPRODUCT(($A$8:$A269&lt;&gt;"")*($S$8:$S269&lt;&gt;"")*($Y$8:$Y269=1)),"")</f>
        <v/>
      </c>
      <c r="AA269" s="25">
        <f>IF(AND($A269&lt;&gt;"",$T269&lt;&gt;"",$Y269=1),SUMPRODUCT(($A$8:$A269&lt;&gt;"")*($T$8:$T269&lt;&gt;"")*($Y$8:$Y269=1)),"")</f>
        <v/>
      </c>
    </row>
    <row r="270">
      <c r="A270" s="13" t="n"/>
      <c r="B270" s="13" t="n"/>
      <c r="C270" s="26" t="n"/>
      <c r="D270" s="26" t="n"/>
      <c r="E270" s="26" t="n"/>
      <c r="F270" s="13" t="n"/>
      <c r="G270" s="13" t="n"/>
      <c r="H270" s="13" t="n"/>
      <c r="I270" s="13" t="n"/>
      <c r="J270" s="23">
        <f>IF($A270="","",IFERROR(INDEX('Ref_Crosswalk'!$F$2:$F$500,MATCH($A270,'Ref_Crosswalk'!$A$2:$A$500,0)),"UNKNOWN"))</f>
        <v/>
      </c>
      <c r="K270" s="24">
        <f>IF($A270="","",IFERROR(INDEX('Ref_Tolerance'!$B$2:$B$9,MATCH($J270,'Ref_Tolerance'!$A$2:$A$9,0)),""))</f>
        <v/>
      </c>
      <c r="L270" s="23">
        <f>IF($A270="","",IFERROR(INDEX('Ref_Tolerance'!$D$2:$D$9,MATCH($J270,'Ref_Tolerance'!$A$2:$A$9,0)),""))</f>
        <v/>
      </c>
      <c r="M270" s="24">
        <f>IF($A270="","",IFERROR(ABS(N($D270))/N($C270),0))</f>
        <v/>
      </c>
      <c r="N270" s="24">
        <f>IF($A270="","",IFERROR(N($E270)/N($C270),0))</f>
        <v/>
      </c>
      <c r="O270" s="23">
        <f>IF($A270="",0,IFERROR(SUMPRODUCT(($A$8:$A$307=$A270)*($P$8:$P$307="FAIL")*($U$8:$U$307&gt;$V270)*($U$8:$U$307&lt;=$U270)),0))</f>
        <v/>
      </c>
      <c r="P270" s="23">
        <f>IF($A270="","",IFERROR(IF(NOT(ISNUMBER($K270)),"CHECK",IF($L270="MARGIN",IF($N270&lt;=$K270,"PASS","FAIL"),IF($M270&lt;=$K270,"PASS","FAIL"))),"CHECK"))</f>
        <v/>
      </c>
      <c r="Q270" s="23">
        <f>IF($A270="","",IFERROR(INDEX('Ref_Tolerance'!$E$2:$E$9,MATCH($J270,'Ref_Tolerance'!$A$2:$A$9,0)),""))</f>
        <v/>
      </c>
      <c r="R270" s="23">
        <f>IF($A270="","",IFERROR(IF($O270=0,"CLEAR",IF($O270=1,"MFR DUE - MANAGER",IF($O270=2,"MFR DUE - FSS/CC SIGNATURE REQUIRED","INVESTIGATION + REPORT OF SURVEY; MSG/CC NOTIFIED"))),""))</f>
        <v/>
      </c>
      <c r="S270" s="23">
        <f>IF($A270="","",IF($O270=2,"WATCH - ONE MORE MISS TRIGGERS INVESTIGATION",""))</f>
        <v/>
      </c>
      <c r="T270" s="23">
        <f>IF($A270="","",IFERROR(IF(AND($O270&gt;=1,$F270&lt;&gt;"Y"),"MFR NOT SUBMITTED",IF(AND($O270&gt;=2,$G270&lt;&gt;"Y"),"FSS/CC SIGNATURE MISSING",IF(AND($O270&gt;=3,$H270&lt;&gt;"Y"),"INVESTIGATION NOT OPENED",""))),""))</f>
        <v/>
      </c>
      <c r="U270" s="25">
        <f>IF($A270="",0,IFERROR(MATCH($B270,'Ref_Calendar'!$A$2:$A$500,0),0))</f>
        <v/>
      </c>
      <c r="V270" s="25">
        <f>IF($A270="",0,IFERROR(SUMPRODUCT(MAX(($A$8:$A$307=$A270)*($P$8:$P$307="PASS")*($U$8:$U$307&lt;=$U270)*$U$8:$U$307)),0))</f>
        <v/>
      </c>
      <c r="W270" s="25">
        <f>IF($A270="","",IFERROR(INDEX('Ref_Crosswalk'!$E$2:$E$500,MATCH($A270,'Ref_Crosswalk'!$A$2:$A$500,0)),""))</f>
        <v/>
      </c>
      <c r="X270" s="25">
        <f>IF($A270="","",IFERROR(INDEX('Ref_Crosswalk'!$C$2:$C$500,MATCH($A270,'Ref_Crosswalk'!$A$2:$A$500,0)),""))</f>
        <v/>
      </c>
      <c r="Y270" s="25">
        <f>IF($A270="",0,IF(AND(OR('Out_Dashboard'!$C$5="",$W270='Out_Dashboard'!$C$5),OR('Out_Dashboard'!$C$6="",$X270='Out_Dashboard'!$C$6),OR('Out_Dashboard'!$C$7="",$B270='Out_Dashboard'!$C$7)),1,0))</f>
        <v/>
      </c>
      <c r="Z270" s="25">
        <f>IF(AND($A270&lt;&gt;"",$S270&lt;&gt;"",$Y270=1),SUMPRODUCT(($A$8:$A270&lt;&gt;"")*($S$8:$S270&lt;&gt;"")*($Y$8:$Y270=1)),"")</f>
        <v/>
      </c>
      <c r="AA270" s="25">
        <f>IF(AND($A270&lt;&gt;"",$T270&lt;&gt;"",$Y270=1),SUMPRODUCT(($A$8:$A270&lt;&gt;"")*($T$8:$T270&lt;&gt;"")*($Y$8:$Y270=1)),"")</f>
        <v/>
      </c>
    </row>
    <row r="271">
      <c r="A271" s="13" t="n"/>
      <c r="B271" s="13" t="n"/>
      <c r="C271" s="26" t="n"/>
      <c r="D271" s="26" t="n"/>
      <c r="E271" s="26" t="n"/>
      <c r="F271" s="13" t="n"/>
      <c r="G271" s="13" t="n"/>
      <c r="H271" s="13" t="n"/>
      <c r="I271" s="13" t="n"/>
      <c r="J271" s="23">
        <f>IF($A271="","",IFERROR(INDEX('Ref_Crosswalk'!$F$2:$F$500,MATCH($A271,'Ref_Crosswalk'!$A$2:$A$500,0)),"UNKNOWN"))</f>
        <v/>
      </c>
      <c r="K271" s="24">
        <f>IF($A271="","",IFERROR(INDEX('Ref_Tolerance'!$B$2:$B$9,MATCH($J271,'Ref_Tolerance'!$A$2:$A$9,0)),""))</f>
        <v/>
      </c>
      <c r="L271" s="23">
        <f>IF($A271="","",IFERROR(INDEX('Ref_Tolerance'!$D$2:$D$9,MATCH($J271,'Ref_Tolerance'!$A$2:$A$9,0)),""))</f>
        <v/>
      </c>
      <c r="M271" s="24">
        <f>IF($A271="","",IFERROR(ABS(N($D271))/N($C271),0))</f>
        <v/>
      </c>
      <c r="N271" s="24">
        <f>IF($A271="","",IFERROR(N($E271)/N($C271),0))</f>
        <v/>
      </c>
      <c r="O271" s="23">
        <f>IF($A271="",0,IFERROR(SUMPRODUCT(($A$8:$A$307=$A271)*($P$8:$P$307="FAIL")*($U$8:$U$307&gt;$V271)*($U$8:$U$307&lt;=$U271)),0))</f>
        <v/>
      </c>
      <c r="P271" s="23">
        <f>IF($A271="","",IFERROR(IF(NOT(ISNUMBER($K271)),"CHECK",IF($L271="MARGIN",IF($N271&lt;=$K271,"PASS","FAIL"),IF($M271&lt;=$K271,"PASS","FAIL"))),"CHECK"))</f>
        <v/>
      </c>
      <c r="Q271" s="23">
        <f>IF($A271="","",IFERROR(INDEX('Ref_Tolerance'!$E$2:$E$9,MATCH($J271,'Ref_Tolerance'!$A$2:$A$9,0)),""))</f>
        <v/>
      </c>
      <c r="R271" s="23">
        <f>IF($A271="","",IFERROR(IF($O271=0,"CLEAR",IF($O271=1,"MFR DUE - MANAGER",IF($O271=2,"MFR DUE - FSS/CC SIGNATURE REQUIRED","INVESTIGATION + REPORT OF SURVEY; MSG/CC NOTIFIED"))),""))</f>
        <v/>
      </c>
      <c r="S271" s="23">
        <f>IF($A271="","",IF($O271=2,"WATCH - ONE MORE MISS TRIGGERS INVESTIGATION",""))</f>
        <v/>
      </c>
      <c r="T271" s="23">
        <f>IF($A271="","",IFERROR(IF(AND($O271&gt;=1,$F271&lt;&gt;"Y"),"MFR NOT SUBMITTED",IF(AND($O271&gt;=2,$G271&lt;&gt;"Y"),"FSS/CC SIGNATURE MISSING",IF(AND($O271&gt;=3,$H271&lt;&gt;"Y"),"INVESTIGATION NOT OPENED",""))),""))</f>
        <v/>
      </c>
      <c r="U271" s="25">
        <f>IF($A271="",0,IFERROR(MATCH($B271,'Ref_Calendar'!$A$2:$A$500,0),0))</f>
        <v/>
      </c>
      <c r="V271" s="25">
        <f>IF($A271="",0,IFERROR(SUMPRODUCT(MAX(($A$8:$A$307=$A271)*($P$8:$P$307="PASS")*($U$8:$U$307&lt;=$U271)*$U$8:$U$307)),0))</f>
        <v/>
      </c>
      <c r="W271" s="25">
        <f>IF($A271="","",IFERROR(INDEX('Ref_Crosswalk'!$E$2:$E$500,MATCH($A271,'Ref_Crosswalk'!$A$2:$A$500,0)),""))</f>
        <v/>
      </c>
      <c r="X271" s="25">
        <f>IF($A271="","",IFERROR(INDEX('Ref_Crosswalk'!$C$2:$C$500,MATCH($A271,'Ref_Crosswalk'!$A$2:$A$500,0)),""))</f>
        <v/>
      </c>
      <c r="Y271" s="25">
        <f>IF($A271="",0,IF(AND(OR('Out_Dashboard'!$C$5="",$W271='Out_Dashboard'!$C$5),OR('Out_Dashboard'!$C$6="",$X271='Out_Dashboard'!$C$6),OR('Out_Dashboard'!$C$7="",$B271='Out_Dashboard'!$C$7)),1,0))</f>
        <v/>
      </c>
      <c r="Z271" s="25">
        <f>IF(AND($A271&lt;&gt;"",$S271&lt;&gt;"",$Y271=1),SUMPRODUCT(($A$8:$A271&lt;&gt;"")*($S$8:$S271&lt;&gt;"")*($Y$8:$Y271=1)),"")</f>
        <v/>
      </c>
      <c r="AA271" s="25">
        <f>IF(AND($A271&lt;&gt;"",$T271&lt;&gt;"",$Y271=1),SUMPRODUCT(($A$8:$A271&lt;&gt;"")*($T$8:$T271&lt;&gt;"")*($Y$8:$Y271=1)),"")</f>
        <v/>
      </c>
    </row>
    <row r="272">
      <c r="A272" s="13" t="n"/>
      <c r="B272" s="13" t="n"/>
      <c r="C272" s="26" t="n"/>
      <c r="D272" s="26" t="n"/>
      <c r="E272" s="26" t="n"/>
      <c r="F272" s="13" t="n"/>
      <c r="G272" s="13" t="n"/>
      <c r="H272" s="13" t="n"/>
      <c r="I272" s="13" t="n"/>
      <c r="J272" s="23">
        <f>IF($A272="","",IFERROR(INDEX('Ref_Crosswalk'!$F$2:$F$500,MATCH($A272,'Ref_Crosswalk'!$A$2:$A$500,0)),"UNKNOWN"))</f>
        <v/>
      </c>
      <c r="K272" s="24">
        <f>IF($A272="","",IFERROR(INDEX('Ref_Tolerance'!$B$2:$B$9,MATCH($J272,'Ref_Tolerance'!$A$2:$A$9,0)),""))</f>
        <v/>
      </c>
      <c r="L272" s="23">
        <f>IF($A272="","",IFERROR(INDEX('Ref_Tolerance'!$D$2:$D$9,MATCH($J272,'Ref_Tolerance'!$A$2:$A$9,0)),""))</f>
        <v/>
      </c>
      <c r="M272" s="24">
        <f>IF($A272="","",IFERROR(ABS(N($D272))/N($C272),0))</f>
        <v/>
      </c>
      <c r="N272" s="24">
        <f>IF($A272="","",IFERROR(N($E272)/N($C272),0))</f>
        <v/>
      </c>
      <c r="O272" s="23">
        <f>IF($A272="",0,IFERROR(SUMPRODUCT(($A$8:$A$307=$A272)*($P$8:$P$307="FAIL")*($U$8:$U$307&gt;$V272)*($U$8:$U$307&lt;=$U272)),0))</f>
        <v/>
      </c>
      <c r="P272" s="23">
        <f>IF($A272="","",IFERROR(IF(NOT(ISNUMBER($K272)),"CHECK",IF($L272="MARGIN",IF($N272&lt;=$K272,"PASS","FAIL"),IF($M272&lt;=$K272,"PASS","FAIL"))),"CHECK"))</f>
        <v/>
      </c>
      <c r="Q272" s="23">
        <f>IF($A272="","",IFERROR(INDEX('Ref_Tolerance'!$E$2:$E$9,MATCH($J272,'Ref_Tolerance'!$A$2:$A$9,0)),""))</f>
        <v/>
      </c>
      <c r="R272" s="23">
        <f>IF($A272="","",IFERROR(IF($O272=0,"CLEAR",IF($O272=1,"MFR DUE - MANAGER",IF($O272=2,"MFR DUE - FSS/CC SIGNATURE REQUIRED","INVESTIGATION + REPORT OF SURVEY; MSG/CC NOTIFIED"))),""))</f>
        <v/>
      </c>
      <c r="S272" s="23">
        <f>IF($A272="","",IF($O272=2,"WATCH - ONE MORE MISS TRIGGERS INVESTIGATION",""))</f>
        <v/>
      </c>
      <c r="T272" s="23">
        <f>IF($A272="","",IFERROR(IF(AND($O272&gt;=1,$F272&lt;&gt;"Y"),"MFR NOT SUBMITTED",IF(AND($O272&gt;=2,$G272&lt;&gt;"Y"),"FSS/CC SIGNATURE MISSING",IF(AND($O272&gt;=3,$H272&lt;&gt;"Y"),"INVESTIGATION NOT OPENED",""))),""))</f>
        <v/>
      </c>
      <c r="U272" s="25">
        <f>IF($A272="",0,IFERROR(MATCH($B272,'Ref_Calendar'!$A$2:$A$500,0),0))</f>
        <v/>
      </c>
      <c r="V272" s="25">
        <f>IF($A272="",0,IFERROR(SUMPRODUCT(MAX(($A$8:$A$307=$A272)*($P$8:$P$307="PASS")*($U$8:$U$307&lt;=$U272)*$U$8:$U$307)),0))</f>
        <v/>
      </c>
      <c r="W272" s="25">
        <f>IF($A272="","",IFERROR(INDEX('Ref_Crosswalk'!$E$2:$E$500,MATCH($A272,'Ref_Crosswalk'!$A$2:$A$500,0)),""))</f>
        <v/>
      </c>
      <c r="X272" s="25">
        <f>IF($A272="","",IFERROR(INDEX('Ref_Crosswalk'!$C$2:$C$500,MATCH($A272,'Ref_Crosswalk'!$A$2:$A$500,0)),""))</f>
        <v/>
      </c>
      <c r="Y272" s="25">
        <f>IF($A272="",0,IF(AND(OR('Out_Dashboard'!$C$5="",$W272='Out_Dashboard'!$C$5),OR('Out_Dashboard'!$C$6="",$X272='Out_Dashboard'!$C$6),OR('Out_Dashboard'!$C$7="",$B272='Out_Dashboard'!$C$7)),1,0))</f>
        <v/>
      </c>
      <c r="Z272" s="25">
        <f>IF(AND($A272&lt;&gt;"",$S272&lt;&gt;"",$Y272=1),SUMPRODUCT(($A$8:$A272&lt;&gt;"")*($S$8:$S272&lt;&gt;"")*($Y$8:$Y272=1)),"")</f>
        <v/>
      </c>
      <c r="AA272" s="25">
        <f>IF(AND($A272&lt;&gt;"",$T272&lt;&gt;"",$Y272=1),SUMPRODUCT(($A$8:$A272&lt;&gt;"")*($T$8:$T272&lt;&gt;"")*($Y$8:$Y272=1)),"")</f>
        <v/>
      </c>
    </row>
    <row r="273">
      <c r="A273" s="13" t="n"/>
      <c r="B273" s="13" t="n"/>
      <c r="C273" s="26" t="n"/>
      <c r="D273" s="26" t="n"/>
      <c r="E273" s="26" t="n"/>
      <c r="F273" s="13" t="n"/>
      <c r="G273" s="13" t="n"/>
      <c r="H273" s="13" t="n"/>
      <c r="I273" s="13" t="n"/>
      <c r="J273" s="23">
        <f>IF($A273="","",IFERROR(INDEX('Ref_Crosswalk'!$F$2:$F$500,MATCH($A273,'Ref_Crosswalk'!$A$2:$A$500,0)),"UNKNOWN"))</f>
        <v/>
      </c>
      <c r="K273" s="24">
        <f>IF($A273="","",IFERROR(INDEX('Ref_Tolerance'!$B$2:$B$9,MATCH($J273,'Ref_Tolerance'!$A$2:$A$9,0)),""))</f>
        <v/>
      </c>
      <c r="L273" s="23">
        <f>IF($A273="","",IFERROR(INDEX('Ref_Tolerance'!$D$2:$D$9,MATCH($J273,'Ref_Tolerance'!$A$2:$A$9,0)),""))</f>
        <v/>
      </c>
      <c r="M273" s="24">
        <f>IF($A273="","",IFERROR(ABS(N($D273))/N($C273),0))</f>
        <v/>
      </c>
      <c r="N273" s="24">
        <f>IF($A273="","",IFERROR(N($E273)/N($C273),0))</f>
        <v/>
      </c>
      <c r="O273" s="23">
        <f>IF($A273="",0,IFERROR(SUMPRODUCT(($A$8:$A$307=$A273)*($P$8:$P$307="FAIL")*($U$8:$U$307&gt;$V273)*($U$8:$U$307&lt;=$U273)),0))</f>
        <v/>
      </c>
      <c r="P273" s="23">
        <f>IF($A273="","",IFERROR(IF(NOT(ISNUMBER($K273)),"CHECK",IF($L273="MARGIN",IF($N273&lt;=$K273,"PASS","FAIL"),IF($M273&lt;=$K273,"PASS","FAIL"))),"CHECK"))</f>
        <v/>
      </c>
      <c r="Q273" s="23">
        <f>IF($A273="","",IFERROR(INDEX('Ref_Tolerance'!$E$2:$E$9,MATCH($J273,'Ref_Tolerance'!$A$2:$A$9,0)),""))</f>
        <v/>
      </c>
      <c r="R273" s="23">
        <f>IF($A273="","",IFERROR(IF($O273=0,"CLEAR",IF($O273=1,"MFR DUE - MANAGER",IF($O273=2,"MFR DUE - FSS/CC SIGNATURE REQUIRED","INVESTIGATION + REPORT OF SURVEY; MSG/CC NOTIFIED"))),""))</f>
        <v/>
      </c>
      <c r="S273" s="23">
        <f>IF($A273="","",IF($O273=2,"WATCH - ONE MORE MISS TRIGGERS INVESTIGATION",""))</f>
        <v/>
      </c>
      <c r="T273" s="23">
        <f>IF($A273="","",IFERROR(IF(AND($O273&gt;=1,$F273&lt;&gt;"Y"),"MFR NOT SUBMITTED",IF(AND($O273&gt;=2,$G273&lt;&gt;"Y"),"FSS/CC SIGNATURE MISSING",IF(AND($O273&gt;=3,$H273&lt;&gt;"Y"),"INVESTIGATION NOT OPENED",""))),""))</f>
        <v/>
      </c>
      <c r="U273" s="25">
        <f>IF($A273="",0,IFERROR(MATCH($B273,'Ref_Calendar'!$A$2:$A$500,0),0))</f>
        <v/>
      </c>
      <c r="V273" s="25">
        <f>IF($A273="",0,IFERROR(SUMPRODUCT(MAX(($A$8:$A$307=$A273)*($P$8:$P$307="PASS")*($U$8:$U$307&lt;=$U273)*$U$8:$U$307)),0))</f>
        <v/>
      </c>
      <c r="W273" s="25">
        <f>IF($A273="","",IFERROR(INDEX('Ref_Crosswalk'!$E$2:$E$500,MATCH($A273,'Ref_Crosswalk'!$A$2:$A$500,0)),""))</f>
        <v/>
      </c>
      <c r="X273" s="25">
        <f>IF($A273="","",IFERROR(INDEX('Ref_Crosswalk'!$C$2:$C$500,MATCH($A273,'Ref_Crosswalk'!$A$2:$A$500,0)),""))</f>
        <v/>
      </c>
      <c r="Y273" s="25">
        <f>IF($A273="",0,IF(AND(OR('Out_Dashboard'!$C$5="",$W273='Out_Dashboard'!$C$5),OR('Out_Dashboard'!$C$6="",$X273='Out_Dashboard'!$C$6),OR('Out_Dashboard'!$C$7="",$B273='Out_Dashboard'!$C$7)),1,0))</f>
        <v/>
      </c>
      <c r="Z273" s="25">
        <f>IF(AND($A273&lt;&gt;"",$S273&lt;&gt;"",$Y273=1),SUMPRODUCT(($A$8:$A273&lt;&gt;"")*($S$8:$S273&lt;&gt;"")*($Y$8:$Y273=1)),"")</f>
        <v/>
      </c>
      <c r="AA273" s="25">
        <f>IF(AND($A273&lt;&gt;"",$T273&lt;&gt;"",$Y273=1),SUMPRODUCT(($A$8:$A273&lt;&gt;"")*($T$8:$T273&lt;&gt;"")*($Y$8:$Y273=1)),"")</f>
        <v/>
      </c>
    </row>
    <row r="274">
      <c r="A274" s="13" t="n"/>
      <c r="B274" s="13" t="n"/>
      <c r="C274" s="26" t="n"/>
      <c r="D274" s="26" t="n"/>
      <c r="E274" s="26" t="n"/>
      <c r="F274" s="13" t="n"/>
      <c r="G274" s="13" t="n"/>
      <c r="H274" s="13" t="n"/>
      <c r="I274" s="13" t="n"/>
      <c r="J274" s="23">
        <f>IF($A274="","",IFERROR(INDEX('Ref_Crosswalk'!$F$2:$F$500,MATCH($A274,'Ref_Crosswalk'!$A$2:$A$500,0)),"UNKNOWN"))</f>
        <v/>
      </c>
      <c r="K274" s="24">
        <f>IF($A274="","",IFERROR(INDEX('Ref_Tolerance'!$B$2:$B$9,MATCH($J274,'Ref_Tolerance'!$A$2:$A$9,0)),""))</f>
        <v/>
      </c>
      <c r="L274" s="23">
        <f>IF($A274="","",IFERROR(INDEX('Ref_Tolerance'!$D$2:$D$9,MATCH($J274,'Ref_Tolerance'!$A$2:$A$9,0)),""))</f>
        <v/>
      </c>
      <c r="M274" s="24">
        <f>IF($A274="","",IFERROR(ABS(N($D274))/N($C274),0))</f>
        <v/>
      </c>
      <c r="N274" s="24">
        <f>IF($A274="","",IFERROR(N($E274)/N($C274),0))</f>
        <v/>
      </c>
      <c r="O274" s="23">
        <f>IF($A274="",0,IFERROR(SUMPRODUCT(($A$8:$A$307=$A274)*($P$8:$P$307="FAIL")*($U$8:$U$307&gt;$V274)*($U$8:$U$307&lt;=$U274)),0))</f>
        <v/>
      </c>
      <c r="P274" s="23">
        <f>IF($A274="","",IFERROR(IF(NOT(ISNUMBER($K274)),"CHECK",IF($L274="MARGIN",IF($N274&lt;=$K274,"PASS","FAIL"),IF($M274&lt;=$K274,"PASS","FAIL"))),"CHECK"))</f>
        <v/>
      </c>
      <c r="Q274" s="23">
        <f>IF($A274="","",IFERROR(INDEX('Ref_Tolerance'!$E$2:$E$9,MATCH($J274,'Ref_Tolerance'!$A$2:$A$9,0)),""))</f>
        <v/>
      </c>
      <c r="R274" s="23">
        <f>IF($A274="","",IFERROR(IF($O274=0,"CLEAR",IF($O274=1,"MFR DUE - MANAGER",IF($O274=2,"MFR DUE - FSS/CC SIGNATURE REQUIRED","INVESTIGATION + REPORT OF SURVEY; MSG/CC NOTIFIED"))),""))</f>
        <v/>
      </c>
      <c r="S274" s="23">
        <f>IF($A274="","",IF($O274=2,"WATCH - ONE MORE MISS TRIGGERS INVESTIGATION",""))</f>
        <v/>
      </c>
      <c r="T274" s="23">
        <f>IF($A274="","",IFERROR(IF(AND($O274&gt;=1,$F274&lt;&gt;"Y"),"MFR NOT SUBMITTED",IF(AND($O274&gt;=2,$G274&lt;&gt;"Y"),"FSS/CC SIGNATURE MISSING",IF(AND($O274&gt;=3,$H274&lt;&gt;"Y"),"INVESTIGATION NOT OPENED",""))),""))</f>
        <v/>
      </c>
      <c r="U274" s="25">
        <f>IF($A274="",0,IFERROR(MATCH($B274,'Ref_Calendar'!$A$2:$A$500,0),0))</f>
        <v/>
      </c>
      <c r="V274" s="25">
        <f>IF($A274="",0,IFERROR(SUMPRODUCT(MAX(($A$8:$A$307=$A274)*($P$8:$P$307="PASS")*($U$8:$U$307&lt;=$U274)*$U$8:$U$307)),0))</f>
        <v/>
      </c>
      <c r="W274" s="25">
        <f>IF($A274="","",IFERROR(INDEX('Ref_Crosswalk'!$E$2:$E$500,MATCH($A274,'Ref_Crosswalk'!$A$2:$A$500,0)),""))</f>
        <v/>
      </c>
      <c r="X274" s="25">
        <f>IF($A274="","",IFERROR(INDEX('Ref_Crosswalk'!$C$2:$C$500,MATCH($A274,'Ref_Crosswalk'!$A$2:$A$500,0)),""))</f>
        <v/>
      </c>
      <c r="Y274" s="25">
        <f>IF($A274="",0,IF(AND(OR('Out_Dashboard'!$C$5="",$W274='Out_Dashboard'!$C$5),OR('Out_Dashboard'!$C$6="",$X274='Out_Dashboard'!$C$6),OR('Out_Dashboard'!$C$7="",$B274='Out_Dashboard'!$C$7)),1,0))</f>
        <v/>
      </c>
      <c r="Z274" s="25">
        <f>IF(AND($A274&lt;&gt;"",$S274&lt;&gt;"",$Y274=1),SUMPRODUCT(($A$8:$A274&lt;&gt;"")*($S$8:$S274&lt;&gt;"")*($Y$8:$Y274=1)),"")</f>
        <v/>
      </c>
      <c r="AA274" s="25">
        <f>IF(AND($A274&lt;&gt;"",$T274&lt;&gt;"",$Y274=1),SUMPRODUCT(($A$8:$A274&lt;&gt;"")*($T$8:$T274&lt;&gt;"")*($Y$8:$Y274=1)),"")</f>
        <v/>
      </c>
    </row>
    <row r="275">
      <c r="A275" s="13" t="n"/>
      <c r="B275" s="13" t="n"/>
      <c r="C275" s="26" t="n"/>
      <c r="D275" s="26" t="n"/>
      <c r="E275" s="26" t="n"/>
      <c r="F275" s="13" t="n"/>
      <c r="G275" s="13" t="n"/>
      <c r="H275" s="13" t="n"/>
      <c r="I275" s="13" t="n"/>
      <c r="J275" s="23">
        <f>IF($A275="","",IFERROR(INDEX('Ref_Crosswalk'!$F$2:$F$500,MATCH($A275,'Ref_Crosswalk'!$A$2:$A$500,0)),"UNKNOWN"))</f>
        <v/>
      </c>
      <c r="K275" s="24">
        <f>IF($A275="","",IFERROR(INDEX('Ref_Tolerance'!$B$2:$B$9,MATCH($J275,'Ref_Tolerance'!$A$2:$A$9,0)),""))</f>
        <v/>
      </c>
      <c r="L275" s="23">
        <f>IF($A275="","",IFERROR(INDEX('Ref_Tolerance'!$D$2:$D$9,MATCH($J275,'Ref_Tolerance'!$A$2:$A$9,0)),""))</f>
        <v/>
      </c>
      <c r="M275" s="24">
        <f>IF($A275="","",IFERROR(ABS(N($D275))/N($C275),0))</f>
        <v/>
      </c>
      <c r="N275" s="24">
        <f>IF($A275="","",IFERROR(N($E275)/N($C275),0))</f>
        <v/>
      </c>
      <c r="O275" s="23">
        <f>IF($A275="",0,IFERROR(SUMPRODUCT(($A$8:$A$307=$A275)*($P$8:$P$307="FAIL")*($U$8:$U$307&gt;$V275)*($U$8:$U$307&lt;=$U275)),0))</f>
        <v/>
      </c>
      <c r="P275" s="23">
        <f>IF($A275="","",IFERROR(IF(NOT(ISNUMBER($K275)),"CHECK",IF($L275="MARGIN",IF($N275&lt;=$K275,"PASS","FAIL"),IF($M275&lt;=$K275,"PASS","FAIL"))),"CHECK"))</f>
        <v/>
      </c>
      <c r="Q275" s="23">
        <f>IF($A275="","",IFERROR(INDEX('Ref_Tolerance'!$E$2:$E$9,MATCH($J275,'Ref_Tolerance'!$A$2:$A$9,0)),""))</f>
        <v/>
      </c>
      <c r="R275" s="23">
        <f>IF($A275="","",IFERROR(IF($O275=0,"CLEAR",IF($O275=1,"MFR DUE - MANAGER",IF($O275=2,"MFR DUE - FSS/CC SIGNATURE REQUIRED","INVESTIGATION + REPORT OF SURVEY; MSG/CC NOTIFIED"))),""))</f>
        <v/>
      </c>
      <c r="S275" s="23">
        <f>IF($A275="","",IF($O275=2,"WATCH - ONE MORE MISS TRIGGERS INVESTIGATION",""))</f>
        <v/>
      </c>
      <c r="T275" s="23">
        <f>IF($A275="","",IFERROR(IF(AND($O275&gt;=1,$F275&lt;&gt;"Y"),"MFR NOT SUBMITTED",IF(AND($O275&gt;=2,$G275&lt;&gt;"Y"),"FSS/CC SIGNATURE MISSING",IF(AND($O275&gt;=3,$H275&lt;&gt;"Y"),"INVESTIGATION NOT OPENED",""))),""))</f>
        <v/>
      </c>
      <c r="U275" s="25">
        <f>IF($A275="",0,IFERROR(MATCH($B275,'Ref_Calendar'!$A$2:$A$500,0),0))</f>
        <v/>
      </c>
      <c r="V275" s="25">
        <f>IF($A275="",0,IFERROR(SUMPRODUCT(MAX(($A$8:$A$307=$A275)*($P$8:$P$307="PASS")*($U$8:$U$307&lt;=$U275)*$U$8:$U$307)),0))</f>
        <v/>
      </c>
      <c r="W275" s="25">
        <f>IF($A275="","",IFERROR(INDEX('Ref_Crosswalk'!$E$2:$E$500,MATCH($A275,'Ref_Crosswalk'!$A$2:$A$500,0)),""))</f>
        <v/>
      </c>
      <c r="X275" s="25">
        <f>IF($A275="","",IFERROR(INDEX('Ref_Crosswalk'!$C$2:$C$500,MATCH($A275,'Ref_Crosswalk'!$A$2:$A$500,0)),""))</f>
        <v/>
      </c>
      <c r="Y275" s="25">
        <f>IF($A275="",0,IF(AND(OR('Out_Dashboard'!$C$5="",$W275='Out_Dashboard'!$C$5),OR('Out_Dashboard'!$C$6="",$X275='Out_Dashboard'!$C$6),OR('Out_Dashboard'!$C$7="",$B275='Out_Dashboard'!$C$7)),1,0))</f>
        <v/>
      </c>
      <c r="Z275" s="25">
        <f>IF(AND($A275&lt;&gt;"",$S275&lt;&gt;"",$Y275=1),SUMPRODUCT(($A$8:$A275&lt;&gt;"")*($S$8:$S275&lt;&gt;"")*($Y$8:$Y275=1)),"")</f>
        <v/>
      </c>
      <c r="AA275" s="25">
        <f>IF(AND($A275&lt;&gt;"",$T275&lt;&gt;"",$Y275=1),SUMPRODUCT(($A$8:$A275&lt;&gt;"")*($T$8:$T275&lt;&gt;"")*($Y$8:$Y275=1)),"")</f>
        <v/>
      </c>
    </row>
    <row r="276">
      <c r="A276" s="13" t="n"/>
      <c r="B276" s="13" t="n"/>
      <c r="C276" s="26" t="n"/>
      <c r="D276" s="26" t="n"/>
      <c r="E276" s="26" t="n"/>
      <c r="F276" s="13" t="n"/>
      <c r="G276" s="13" t="n"/>
      <c r="H276" s="13" t="n"/>
      <c r="I276" s="13" t="n"/>
      <c r="J276" s="23">
        <f>IF($A276="","",IFERROR(INDEX('Ref_Crosswalk'!$F$2:$F$500,MATCH($A276,'Ref_Crosswalk'!$A$2:$A$500,0)),"UNKNOWN"))</f>
        <v/>
      </c>
      <c r="K276" s="24">
        <f>IF($A276="","",IFERROR(INDEX('Ref_Tolerance'!$B$2:$B$9,MATCH($J276,'Ref_Tolerance'!$A$2:$A$9,0)),""))</f>
        <v/>
      </c>
      <c r="L276" s="23">
        <f>IF($A276="","",IFERROR(INDEX('Ref_Tolerance'!$D$2:$D$9,MATCH($J276,'Ref_Tolerance'!$A$2:$A$9,0)),""))</f>
        <v/>
      </c>
      <c r="M276" s="24">
        <f>IF($A276="","",IFERROR(ABS(N($D276))/N($C276),0))</f>
        <v/>
      </c>
      <c r="N276" s="24">
        <f>IF($A276="","",IFERROR(N($E276)/N($C276),0))</f>
        <v/>
      </c>
      <c r="O276" s="23">
        <f>IF($A276="",0,IFERROR(SUMPRODUCT(($A$8:$A$307=$A276)*($P$8:$P$307="FAIL")*($U$8:$U$307&gt;$V276)*($U$8:$U$307&lt;=$U276)),0))</f>
        <v/>
      </c>
      <c r="P276" s="23">
        <f>IF($A276="","",IFERROR(IF(NOT(ISNUMBER($K276)),"CHECK",IF($L276="MARGIN",IF($N276&lt;=$K276,"PASS","FAIL"),IF($M276&lt;=$K276,"PASS","FAIL"))),"CHECK"))</f>
        <v/>
      </c>
      <c r="Q276" s="23">
        <f>IF($A276="","",IFERROR(INDEX('Ref_Tolerance'!$E$2:$E$9,MATCH($J276,'Ref_Tolerance'!$A$2:$A$9,0)),""))</f>
        <v/>
      </c>
      <c r="R276" s="23">
        <f>IF($A276="","",IFERROR(IF($O276=0,"CLEAR",IF($O276=1,"MFR DUE - MANAGER",IF($O276=2,"MFR DUE - FSS/CC SIGNATURE REQUIRED","INVESTIGATION + REPORT OF SURVEY; MSG/CC NOTIFIED"))),""))</f>
        <v/>
      </c>
      <c r="S276" s="23">
        <f>IF($A276="","",IF($O276=2,"WATCH - ONE MORE MISS TRIGGERS INVESTIGATION",""))</f>
        <v/>
      </c>
      <c r="T276" s="23">
        <f>IF($A276="","",IFERROR(IF(AND($O276&gt;=1,$F276&lt;&gt;"Y"),"MFR NOT SUBMITTED",IF(AND($O276&gt;=2,$G276&lt;&gt;"Y"),"FSS/CC SIGNATURE MISSING",IF(AND($O276&gt;=3,$H276&lt;&gt;"Y"),"INVESTIGATION NOT OPENED",""))),""))</f>
        <v/>
      </c>
      <c r="U276" s="25">
        <f>IF($A276="",0,IFERROR(MATCH($B276,'Ref_Calendar'!$A$2:$A$500,0),0))</f>
        <v/>
      </c>
      <c r="V276" s="25">
        <f>IF($A276="",0,IFERROR(SUMPRODUCT(MAX(($A$8:$A$307=$A276)*($P$8:$P$307="PASS")*($U$8:$U$307&lt;=$U276)*$U$8:$U$307)),0))</f>
        <v/>
      </c>
      <c r="W276" s="25">
        <f>IF($A276="","",IFERROR(INDEX('Ref_Crosswalk'!$E$2:$E$500,MATCH($A276,'Ref_Crosswalk'!$A$2:$A$500,0)),""))</f>
        <v/>
      </c>
      <c r="X276" s="25">
        <f>IF($A276="","",IFERROR(INDEX('Ref_Crosswalk'!$C$2:$C$500,MATCH($A276,'Ref_Crosswalk'!$A$2:$A$500,0)),""))</f>
        <v/>
      </c>
      <c r="Y276" s="25">
        <f>IF($A276="",0,IF(AND(OR('Out_Dashboard'!$C$5="",$W276='Out_Dashboard'!$C$5),OR('Out_Dashboard'!$C$6="",$X276='Out_Dashboard'!$C$6),OR('Out_Dashboard'!$C$7="",$B276='Out_Dashboard'!$C$7)),1,0))</f>
        <v/>
      </c>
      <c r="Z276" s="25">
        <f>IF(AND($A276&lt;&gt;"",$S276&lt;&gt;"",$Y276=1),SUMPRODUCT(($A$8:$A276&lt;&gt;"")*($S$8:$S276&lt;&gt;"")*($Y$8:$Y276=1)),"")</f>
        <v/>
      </c>
      <c r="AA276" s="25">
        <f>IF(AND($A276&lt;&gt;"",$T276&lt;&gt;"",$Y276=1),SUMPRODUCT(($A$8:$A276&lt;&gt;"")*($T$8:$T276&lt;&gt;"")*($Y$8:$Y276=1)),"")</f>
        <v/>
      </c>
    </row>
    <row r="277">
      <c r="A277" s="13" t="n"/>
      <c r="B277" s="13" t="n"/>
      <c r="C277" s="26" t="n"/>
      <c r="D277" s="26" t="n"/>
      <c r="E277" s="26" t="n"/>
      <c r="F277" s="13" t="n"/>
      <c r="G277" s="13" t="n"/>
      <c r="H277" s="13" t="n"/>
      <c r="I277" s="13" t="n"/>
      <c r="J277" s="23">
        <f>IF($A277="","",IFERROR(INDEX('Ref_Crosswalk'!$F$2:$F$500,MATCH($A277,'Ref_Crosswalk'!$A$2:$A$500,0)),"UNKNOWN"))</f>
        <v/>
      </c>
      <c r="K277" s="24">
        <f>IF($A277="","",IFERROR(INDEX('Ref_Tolerance'!$B$2:$B$9,MATCH($J277,'Ref_Tolerance'!$A$2:$A$9,0)),""))</f>
        <v/>
      </c>
      <c r="L277" s="23">
        <f>IF($A277="","",IFERROR(INDEX('Ref_Tolerance'!$D$2:$D$9,MATCH($J277,'Ref_Tolerance'!$A$2:$A$9,0)),""))</f>
        <v/>
      </c>
      <c r="M277" s="24">
        <f>IF($A277="","",IFERROR(ABS(N($D277))/N($C277),0))</f>
        <v/>
      </c>
      <c r="N277" s="24">
        <f>IF($A277="","",IFERROR(N($E277)/N($C277),0))</f>
        <v/>
      </c>
      <c r="O277" s="23">
        <f>IF($A277="",0,IFERROR(SUMPRODUCT(($A$8:$A$307=$A277)*($P$8:$P$307="FAIL")*($U$8:$U$307&gt;$V277)*($U$8:$U$307&lt;=$U277)),0))</f>
        <v/>
      </c>
      <c r="P277" s="23">
        <f>IF($A277="","",IFERROR(IF(NOT(ISNUMBER($K277)),"CHECK",IF($L277="MARGIN",IF($N277&lt;=$K277,"PASS","FAIL"),IF($M277&lt;=$K277,"PASS","FAIL"))),"CHECK"))</f>
        <v/>
      </c>
      <c r="Q277" s="23">
        <f>IF($A277="","",IFERROR(INDEX('Ref_Tolerance'!$E$2:$E$9,MATCH($J277,'Ref_Tolerance'!$A$2:$A$9,0)),""))</f>
        <v/>
      </c>
      <c r="R277" s="23">
        <f>IF($A277="","",IFERROR(IF($O277=0,"CLEAR",IF($O277=1,"MFR DUE - MANAGER",IF($O277=2,"MFR DUE - FSS/CC SIGNATURE REQUIRED","INVESTIGATION + REPORT OF SURVEY; MSG/CC NOTIFIED"))),""))</f>
        <v/>
      </c>
      <c r="S277" s="23">
        <f>IF($A277="","",IF($O277=2,"WATCH - ONE MORE MISS TRIGGERS INVESTIGATION",""))</f>
        <v/>
      </c>
      <c r="T277" s="23">
        <f>IF($A277="","",IFERROR(IF(AND($O277&gt;=1,$F277&lt;&gt;"Y"),"MFR NOT SUBMITTED",IF(AND($O277&gt;=2,$G277&lt;&gt;"Y"),"FSS/CC SIGNATURE MISSING",IF(AND($O277&gt;=3,$H277&lt;&gt;"Y"),"INVESTIGATION NOT OPENED",""))),""))</f>
        <v/>
      </c>
      <c r="U277" s="25">
        <f>IF($A277="",0,IFERROR(MATCH($B277,'Ref_Calendar'!$A$2:$A$500,0),0))</f>
        <v/>
      </c>
      <c r="V277" s="25">
        <f>IF($A277="",0,IFERROR(SUMPRODUCT(MAX(($A$8:$A$307=$A277)*($P$8:$P$307="PASS")*($U$8:$U$307&lt;=$U277)*$U$8:$U$307)),0))</f>
        <v/>
      </c>
      <c r="W277" s="25">
        <f>IF($A277="","",IFERROR(INDEX('Ref_Crosswalk'!$E$2:$E$500,MATCH($A277,'Ref_Crosswalk'!$A$2:$A$500,0)),""))</f>
        <v/>
      </c>
      <c r="X277" s="25">
        <f>IF($A277="","",IFERROR(INDEX('Ref_Crosswalk'!$C$2:$C$500,MATCH($A277,'Ref_Crosswalk'!$A$2:$A$500,0)),""))</f>
        <v/>
      </c>
      <c r="Y277" s="25">
        <f>IF($A277="",0,IF(AND(OR('Out_Dashboard'!$C$5="",$W277='Out_Dashboard'!$C$5),OR('Out_Dashboard'!$C$6="",$X277='Out_Dashboard'!$C$6),OR('Out_Dashboard'!$C$7="",$B277='Out_Dashboard'!$C$7)),1,0))</f>
        <v/>
      </c>
      <c r="Z277" s="25">
        <f>IF(AND($A277&lt;&gt;"",$S277&lt;&gt;"",$Y277=1),SUMPRODUCT(($A$8:$A277&lt;&gt;"")*($S$8:$S277&lt;&gt;"")*($Y$8:$Y277=1)),"")</f>
        <v/>
      </c>
      <c r="AA277" s="25">
        <f>IF(AND($A277&lt;&gt;"",$T277&lt;&gt;"",$Y277=1),SUMPRODUCT(($A$8:$A277&lt;&gt;"")*($T$8:$T277&lt;&gt;"")*($Y$8:$Y277=1)),"")</f>
        <v/>
      </c>
    </row>
    <row r="278">
      <c r="A278" s="13" t="n"/>
      <c r="B278" s="13" t="n"/>
      <c r="C278" s="26" t="n"/>
      <c r="D278" s="26" t="n"/>
      <c r="E278" s="26" t="n"/>
      <c r="F278" s="13" t="n"/>
      <c r="G278" s="13" t="n"/>
      <c r="H278" s="13" t="n"/>
      <c r="I278" s="13" t="n"/>
      <c r="J278" s="23">
        <f>IF($A278="","",IFERROR(INDEX('Ref_Crosswalk'!$F$2:$F$500,MATCH($A278,'Ref_Crosswalk'!$A$2:$A$500,0)),"UNKNOWN"))</f>
        <v/>
      </c>
      <c r="K278" s="24">
        <f>IF($A278="","",IFERROR(INDEX('Ref_Tolerance'!$B$2:$B$9,MATCH($J278,'Ref_Tolerance'!$A$2:$A$9,0)),""))</f>
        <v/>
      </c>
      <c r="L278" s="23">
        <f>IF($A278="","",IFERROR(INDEX('Ref_Tolerance'!$D$2:$D$9,MATCH($J278,'Ref_Tolerance'!$A$2:$A$9,0)),""))</f>
        <v/>
      </c>
      <c r="M278" s="24">
        <f>IF($A278="","",IFERROR(ABS(N($D278))/N($C278),0))</f>
        <v/>
      </c>
      <c r="N278" s="24">
        <f>IF($A278="","",IFERROR(N($E278)/N($C278),0))</f>
        <v/>
      </c>
      <c r="O278" s="23">
        <f>IF($A278="",0,IFERROR(SUMPRODUCT(($A$8:$A$307=$A278)*($P$8:$P$307="FAIL")*($U$8:$U$307&gt;$V278)*($U$8:$U$307&lt;=$U278)),0))</f>
        <v/>
      </c>
      <c r="P278" s="23">
        <f>IF($A278="","",IFERROR(IF(NOT(ISNUMBER($K278)),"CHECK",IF($L278="MARGIN",IF($N278&lt;=$K278,"PASS","FAIL"),IF($M278&lt;=$K278,"PASS","FAIL"))),"CHECK"))</f>
        <v/>
      </c>
      <c r="Q278" s="23">
        <f>IF($A278="","",IFERROR(INDEX('Ref_Tolerance'!$E$2:$E$9,MATCH($J278,'Ref_Tolerance'!$A$2:$A$9,0)),""))</f>
        <v/>
      </c>
      <c r="R278" s="23">
        <f>IF($A278="","",IFERROR(IF($O278=0,"CLEAR",IF($O278=1,"MFR DUE - MANAGER",IF($O278=2,"MFR DUE - FSS/CC SIGNATURE REQUIRED","INVESTIGATION + REPORT OF SURVEY; MSG/CC NOTIFIED"))),""))</f>
        <v/>
      </c>
      <c r="S278" s="23">
        <f>IF($A278="","",IF($O278=2,"WATCH - ONE MORE MISS TRIGGERS INVESTIGATION",""))</f>
        <v/>
      </c>
      <c r="T278" s="23">
        <f>IF($A278="","",IFERROR(IF(AND($O278&gt;=1,$F278&lt;&gt;"Y"),"MFR NOT SUBMITTED",IF(AND($O278&gt;=2,$G278&lt;&gt;"Y"),"FSS/CC SIGNATURE MISSING",IF(AND($O278&gt;=3,$H278&lt;&gt;"Y"),"INVESTIGATION NOT OPENED",""))),""))</f>
        <v/>
      </c>
      <c r="U278" s="25">
        <f>IF($A278="",0,IFERROR(MATCH($B278,'Ref_Calendar'!$A$2:$A$500,0),0))</f>
        <v/>
      </c>
      <c r="V278" s="25">
        <f>IF($A278="",0,IFERROR(SUMPRODUCT(MAX(($A$8:$A$307=$A278)*($P$8:$P$307="PASS")*($U$8:$U$307&lt;=$U278)*$U$8:$U$307)),0))</f>
        <v/>
      </c>
      <c r="W278" s="25">
        <f>IF($A278="","",IFERROR(INDEX('Ref_Crosswalk'!$E$2:$E$500,MATCH($A278,'Ref_Crosswalk'!$A$2:$A$500,0)),""))</f>
        <v/>
      </c>
      <c r="X278" s="25">
        <f>IF($A278="","",IFERROR(INDEX('Ref_Crosswalk'!$C$2:$C$500,MATCH($A278,'Ref_Crosswalk'!$A$2:$A$500,0)),""))</f>
        <v/>
      </c>
      <c r="Y278" s="25">
        <f>IF($A278="",0,IF(AND(OR('Out_Dashboard'!$C$5="",$W278='Out_Dashboard'!$C$5),OR('Out_Dashboard'!$C$6="",$X278='Out_Dashboard'!$C$6),OR('Out_Dashboard'!$C$7="",$B278='Out_Dashboard'!$C$7)),1,0))</f>
        <v/>
      </c>
      <c r="Z278" s="25">
        <f>IF(AND($A278&lt;&gt;"",$S278&lt;&gt;"",$Y278=1),SUMPRODUCT(($A$8:$A278&lt;&gt;"")*($S$8:$S278&lt;&gt;"")*($Y$8:$Y278=1)),"")</f>
        <v/>
      </c>
      <c r="AA278" s="25">
        <f>IF(AND($A278&lt;&gt;"",$T278&lt;&gt;"",$Y278=1),SUMPRODUCT(($A$8:$A278&lt;&gt;"")*($T$8:$T278&lt;&gt;"")*($Y$8:$Y278=1)),"")</f>
        <v/>
      </c>
    </row>
    <row r="279">
      <c r="A279" s="13" t="n"/>
      <c r="B279" s="13" t="n"/>
      <c r="C279" s="26" t="n"/>
      <c r="D279" s="26" t="n"/>
      <c r="E279" s="26" t="n"/>
      <c r="F279" s="13" t="n"/>
      <c r="G279" s="13" t="n"/>
      <c r="H279" s="13" t="n"/>
      <c r="I279" s="13" t="n"/>
      <c r="J279" s="23">
        <f>IF($A279="","",IFERROR(INDEX('Ref_Crosswalk'!$F$2:$F$500,MATCH($A279,'Ref_Crosswalk'!$A$2:$A$500,0)),"UNKNOWN"))</f>
        <v/>
      </c>
      <c r="K279" s="24">
        <f>IF($A279="","",IFERROR(INDEX('Ref_Tolerance'!$B$2:$B$9,MATCH($J279,'Ref_Tolerance'!$A$2:$A$9,0)),""))</f>
        <v/>
      </c>
      <c r="L279" s="23">
        <f>IF($A279="","",IFERROR(INDEX('Ref_Tolerance'!$D$2:$D$9,MATCH($J279,'Ref_Tolerance'!$A$2:$A$9,0)),""))</f>
        <v/>
      </c>
      <c r="M279" s="24">
        <f>IF($A279="","",IFERROR(ABS(N($D279))/N($C279),0))</f>
        <v/>
      </c>
      <c r="N279" s="24">
        <f>IF($A279="","",IFERROR(N($E279)/N($C279),0))</f>
        <v/>
      </c>
      <c r="O279" s="23">
        <f>IF($A279="",0,IFERROR(SUMPRODUCT(($A$8:$A$307=$A279)*($P$8:$P$307="FAIL")*($U$8:$U$307&gt;$V279)*($U$8:$U$307&lt;=$U279)),0))</f>
        <v/>
      </c>
      <c r="P279" s="23">
        <f>IF($A279="","",IFERROR(IF(NOT(ISNUMBER($K279)),"CHECK",IF($L279="MARGIN",IF($N279&lt;=$K279,"PASS","FAIL"),IF($M279&lt;=$K279,"PASS","FAIL"))),"CHECK"))</f>
        <v/>
      </c>
      <c r="Q279" s="23">
        <f>IF($A279="","",IFERROR(INDEX('Ref_Tolerance'!$E$2:$E$9,MATCH($J279,'Ref_Tolerance'!$A$2:$A$9,0)),""))</f>
        <v/>
      </c>
      <c r="R279" s="23">
        <f>IF($A279="","",IFERROR(IF($O279=0,"CLEAR",IF($O279=1,"MFR DUE - MANAGER",IF($O279=2,"MFR DUE - FSS/CC SIGNATURE REQUIRED","INVESTIGATION + REPORT OF SURVEY; MSG/CC NOTIFIED"))),""))</f>
        <v/>
      </c>
      <c r="S279" s="23">
        <f>IF($A279="","",IF($O279=2,"WATCH - ONE MORE MISS TRIGGERS INVESTIGATION",""))</f>
        <v/>
      </c>
      <c r="T279" s="23">
        <f>IF($A279="","",IFERROR(IF(AND($O279&gt;=1,$F279&lt;&gt;"Y"),"MFR NOT SUBMITTED",IF(AND($O279&gt;=2,$G279&lt;&gt;"Y"),"FSS/CC SIGNATURE MISSING",IF(AND($O279&gt;=3,$H279&lt;&gt;"Y"),"INVESTIGATION NOT OPENED",""))),""))</f>
        <v/>
      </c>
      <c r="U279" s="25">
        <f>IF($A279="",0,IFERROR(MATCH($B279,'Ref_Calendar'!$A$2:$A$500,0),0))</f>
        <v/>
      </c>
      <c r="V279" s="25">
        <f>IF($A279="",0,IFERROR(SUMPRODUCT(MAX(($A$8:$A$307=$A279)*($P$8:$P$307="PASS")*($U$8:$U$307&lt;=$U279)*$U$8:$U$307)),0))</f>
        <v/>
      </c>
      <c r="W279" s="25">
        <f>IF($A279="","",IFERROR(INDEX('Ref_Crosswalk'!$E$2:$E$500,MATCH($A279,'Ref_Crosswalk'!$A$2:$A$500,0)),""))</f>
        <v/>
      </c>
      <c r="X279" s="25">
        <f>IF($A279="","",IFERROR(INDEX('Ref_Crosswalk'!$C$2:$C$500,MATCH($A279,'Ref_Crosswalk'!$A$2:$A$500,0)),""))</f>
        <v/>
      </c>
      <c r="Y279" s="25">
        <f>IF($A279="",0,IF(AND(OR('Out_Dashboard'!$C$5="",$W279='Out_Dashboard'!$C$5),OR('Out_Dashboard'!$C$6="",$X279='Out_Dashboard'!$C$6),OR('Out_Dashboard'!$C$7="",$B279='Out_Dashboard'!$C$7)),1,0))</f>
        <v/>
      </c>
      <c r="Z279" s="25">
        <f>IF(AND($A279&lt;&gt;"",$S279&lt;&gt;"",$Y279=1),SUMPRODUCT(($A$8:$A279&lt;&gt;"")*($S$8:$S279&lt;&gt;"")*($Y$8:$Y279=1)),"")</f>
        <v/>
      </c>
      <c r="AA279" s="25">
        <f>IF(AND($A279&lt;&gt;"",$T279&lt;&gt;"",$Y279=1),SUMPRODUCT(($A$8:$A279&lt;&gt;"")*($T$8:$T279&lt;&gt;"")*($Y$8:$Y279=1)),"")</f>
        <v/>
      </c>
    </row>
    <row r="280">
      <c r="A280" s="13" t="n"/>
      <c r="B280" s="13" t="n"/>
      <c r="C280" s="26" t="n"/>
      <c r="D280" s="26" t="n"/>
      <c r="E280" s="26" t="n"/>
      <c r="F280" s="13" t="n"/>
      <c r="G280" s="13" t="n"/>
      <c r="H280" s="13" t="n"/>
      <c r="I280" s="13" t="n"/>
      <c r="J280" s="23">
        <f>IF($A280="","",IFERROR(INDEX('Ref_Crosswalk'!$F$2:$F$500,MATCH($A280,'Ref_Crosswalk'!$A$2:$A$500,0)),"UNKNOWN"))</f>
        <v/>
      </c>
      <c r="K280" s="24">
        <f>IF($A280="","",IFERROR(INDEX('Ref_Tolerance'!$B$2:$B$9,MATCH($J280,'Ref_Tolerance'!$A$2:$A$9,0)),""))</f>
        <v/>
      </c>
      <c r="L280" s="23">
        <f>IF($A280="","",IFERROR(INDEX('Ref_Tolerance'!$D$2:$D$9,MATCH($J280,'Ref_Tolerance'!$A$2:$A$9,0)),""))</f>
        <v/>
      </c>
      <c r="M280" s="24">
        <f>IF($A280="","",IFERROR(ABS(N($D280))/N($C280),0))</f>
        <v/>
      </c>
      <c r="N280" s="24">
        <f>IF($A280="","",IFERROR(N($E280)/N($C280),0))</f>
        <v/>
      </c>
      <c r="O280" s="23">
        <f>IF($A280="",0,IFERROR(SUMPRODUCT(($A$8:$A$307=$A280)*($P$8:$P$307="FAIL")*($U$8:$U$307&gt;$V280)*($U$8:$U$307&lt;=$U280)),0))</f>
        <v/>
      </c>
      <c r="P280" s="23">
        <f>IF($A280="","",IFERROR(IF(NOT(ISNUMBER($K280)),"CHECK",IF($L280="MARGIN",IF($N280&lt;=$K280,"PASS","FAIL"),IF($M280&lt;=$K280,"PASS","FAIL"))),"CHECK"))</f>
        <v/>
      </c>
      <c r="Q280" s="23">
        <f>IF($A280="","",IFERROR(INDEX('Ref_Tolerance'!$E$2:$E$9,MATCH($J280,'Ref_Tolerance'!$A$2:$A$9,0)),""))</f>
        <v/>
      </c>
      <c r="R280" s="23">
        <f>IF($A280="","",IFERROR(IF($O280=0,"CLEAR",IF($O280=1,"MFR DUE - MANAGER",IF($O280=2,"MFR DUE - FSS/CC SIGNATURE REQUIRED","INVESTIGATION + REPORT OF SURVEY; MSG/CC NOTIFIED"))),""))</f>
        <v/>
      </c>
      <c r="S280" s="23">
        <f>IF($A280="","",IF($O280=2,"WATCH - ONE MORE MISS TRIGGERS INVESTIGATION",""))</f>
        <v/>
      </c>
      <c r="T280" s="23">
        <f>IF($A280="","",IFERROR(IF(AND($O280&gt;=1,$F280&lt;&gt;"Y"),"MFR NOT SUBMITTED",IF(AND($O280&gt;=2,$G280&lt;&gt;"Y"),"FSS/CC SIGNATURE MISSING",IF(AND($O280&gt;=3,$H280&lt;&gt;"Y"),"INVESTIGATION NOT OPENED",""))),""))</f>
        <v/>
      </c>
      <c r="U280" s="25">
        <f>IF($A280="",0,IFERROR(MATCH($B280,'Ref_Calendar'!$A$2:$A$500,0),0))</f>
        <v/>
      </c>
      <c r="V280" s="25">
        <f>IF($A280="",0,IFERROR(SUMPRODUCT(MAX(($A$8:$A$307=$A280)*($P$8:$P$307="PASS")*($U$8:$U$307&lt;=$U280)*$U$8:$U$307)),0))</f>
        <v/>
      </c>
      <c r="W280" s="25">
        <f>IF($A280="","",IFERROR(INDEX('Ref_Crosswalk'!$E$2:$E$500,MATCH($A280,'Ref_Crosswalk'!$A$2:$A$500,0)),""))</f>
        <v/>
      </c>
      <c r="X280" s="25">
        <f>IF($A280="","",IFERROR(INDEX('Ref_Crosswalk'!$C$2:$C$500,MATCH($A280,'Ref_Crosswalk'!$A$2:$A$500,0)),""))</f>
        <v/>
      </c>
      <c r="Y280" s="25">
        <f>IF($A280="",0,IF(AND(OR('Out_Dashboard'!$C$5="",$W280='Out_Dashboard'!$C$5),OR('Out_Dashboard'!$C$6="",$X280='Out_Dashboard'!$C$6),OR('Out_Dashboard'!$C$7="",$B280='Out_Dashboard'!$C$7)),1,0))</f>
        <v/>
      </c>
      <c r="Z280" s="25">
        <f>IF(AND($A280&lt;&gt;"",$S280&lt;&gt;"",$Y280=1),SUMPRODUCT(($A$8:$A280&lt;&gt;"")*($S$8:$S280&lt;&gt;"")*($Y$8:$Y280=1)),"")</f>
        <v/>
      </c>
      <c r="AA280" s="25">
        <f>IF(AND($A280&lt;&gt;"",$T280&lt;&gt;"",$Y280=1),SUMPRODUCT(($A$8:$A280&lt;&gt;"")*($T$8:$T280&lt;&gt;"")*($Y$8:$Y280=1)),"")</f>
        <v/>
      </c>
    </row>
    <row r="281">
      <c r="A281" s="13" t="n"/>
      <c r="B281" s="13" t="n"/>
      <c r="C281" s="26" t="n"/>
      <c r="D281" s="26" t="n"/>
      <c r="E281" s="26" t="n"/>
      <c r="F281" s="13" t="n"/>
      <c r="G281" s="13" t="n"/>
      <c r="H281" s="13" t="n"/>
      <c r="I281" s="13" t="n"/>
      <c r="J281" s="23">
        <f>IF($A281="","",IFERROR(INDEX('Ref_Crosswalk'!$F$2:$F$500,MATCH($A281,'Ref_Crosswalk'!$A$2:$A$500,0)),"UNKNOWN"))</f>
        <v/>
      </c>
      <c r="K281" s="24">
        <f>IF($A281="","",IFERROR(INDEX('Ref_Tolerance'!$B$2:$B$9,MATCH($J281,'Ref_Tolerance'!$A$2:$A$9,0)),""))</f>
        <v/>
      </c>
      <c r="L281" s="23">
        <f>IF($A281="","",IFERROR(INDEX('Ref_Tolerance'!$D$2:$D$9,MATCH($J281,'Ref_Tolerance'!$A$2:$A$9,0)),""))</f>
        <v/>
      </c>
      <c r="M281" s="24">
        <f>IF($A281="","",IFERROR(ABS(N($D281))/N($C281),0))</f>
        <v/>
      </c>
      <c r="N281" s="24">
        <f>IF($A281="","",IFERROR(N($E281)/N($C281),0))</f>
        <v/>
      </c>
      <c r="O281" s="23">
        <f>IF($A281="",0,IFERROR(SUMPRODUCT(($A$8:$A$307=$A281)*($P$8:$P$307="FAIL")*($U$8:$U$307&gt;$V281)*($U$8:$U$307&lt;=$U281)),0))</f>
        <v/>
      </c>
      <c r="P281" s="23">
        <f>IF($A281="","",IFERROR(IF(NOT(ISNUMBER($K281)),"CHECK",IF($L281="MARGIN",IF($N281&lt;=$K281,"PASS","FAIL"),IF($M281&lt;=$K281,"PASS","FAIL"))),"CHECK"))</f>
        <v/>
      </c>
      <c r="Q281" s="23">
        <f>IF($A281="","",IFERROR(INDEX('Ref_Tolerance'!$E$2:$E$9,MATCH($J281,'Ref_Tolerance'!$A$2:$A$9,0)),""))</f>
        <v/>
      </c>
      <c r="R281" s="23">
        <f>IF($A281="","",IFERROR(IF($O281=0,"CLEAR",IF($O281=1,"MFR DUE - MANAGER",IF($O281=2,"MFR DUE - FSS/CC SIGNATURE REQUIRED","INVESTIGATION + REPORT OF SURVEY; MSG/CC NOTIFIED"))),""))</f>
        <v/>
      </c>
      <c r="S281" s="23">
        <f>IF($A281="","",IF($O281=2,"WATCH - ONE MORE MISS TRIGGERS INVESTIGATION",""))</f>
        <v/>
      </c>
      <c r="T281" s="23">
        <f>IF($A281="","",IFERROR(IF(AND($O281&gt;=1,$F281&lt;&gt;"Y"),"MFR NOT SUBMITTED",IF(AND($O281&gt;=2,$G281&lt;&gt;"Y"),"FSS/CC SIGNATURE MISSING",IF(AND($O281&gt;=3,$H281&lt;&gt;"Y"),"INVESTIGATION NOT OPENED",""))),""))</f>
        <v/>
      </c>
      <c r="U281" s="25">
        <f>IF($A281="",0,IFERROR(MATCH($B281,'Ref_Calendar'!$A$2:$A$500,0),0))</f>
        <v/>
      </c>
      <c r="V281" s="25">
        <f>IF($A281="",0,IFERROR(SUMPRODUCT(MAX(($A$8:$A$307=$A281)*($P$8:$P$307="PASS")*($U$8:$U$307&lt;=$U281)*$U$8:$U$307)),0))</f>
        <v/>
      </c>
      <c r="W281" s="25">
        <f>IF($A281="","",IFERROR(INDEX('Ref_Crosswalk'!$E$2:$E$500,MATCH($A281,'Ref_Crosswalk'!$A$2:$A$500,0)),""))</f>
        <v/>
      </c>
      <c r="X281" s="25">
        <f>IF($A281="","",IFERROR(INDEX('Ref_Crosswalk'!$C$2:$C$500,MATCH($A281,'Ref_Crosswalk'!$A$2:$A$500,0)),""))</f>
        <v/>
      </c>
      <c r="Y281" s="25">
        <f>IF($A281="",0,IF(AND(OR('Out_Dashboard'!$C$5="",$W281='Out_Dashboard'!$C$5),OR('Out_Dashboard'!$C$6="",$X281='Out_Dashboard'!$C$6),OR('Out_Dashboard'!$C$7="",$B281='Out_Dashboard'!$C$7)),1,0))</f>
        <v/>
      </c>
      <c r="Z281" s="25">
        <f>IF(AND($A281&lt;&gt;"",$S281&lt;&gt;"",$Y281=1),SUMPRODUCT(($A$8:$A281&lt;&gt;"")*($S$8:$S281&lt;&gt;"")*($Y$8:$Y281=1)),"")</f>
        <v/>
      </c>
      <c r="AA281" s="25">
        <f>IF(AND($A281&lt;&gt;"",$T281&lt;&gt;"",$Y281=1),SUMPRODUCT(($A$8:$A281&lt;&gt;"")*($T$8:$T281&lt;&gt;"")*($Y$8:$Y281=1)),"")</f>
        <v/>
      </c>
    </row>
    <row r="282">
      <c r="A282" s="13" t="n"/>
      <c r="B282" s="13" t="n"/>
      <c r="C282" s="26" t="n"/>
      <c r="D282" s="26" t="n"/>
      <c r="E282" s="26" t="n"/>
      <c r="F282" s="13" t="n"/>
      <c r="G282" s="13" t="n"/>
      <c r="H282" s="13" t="n"/>
      <c r="I282" s="13" t="n"/>
      <c r="J282" s="23">
        <f>IF($A282="","",IFERROR(INDEX('Ref_Crosswalk'!$F$2:$F$500,MATCH($A282,'Ref_Crosswalk'!$A$2:$A$500,0)),"UNKNOWN"))</f>
        <v/>
      </c>
      <c r="K282" s="24">
        <f>IF($A282="","",IFERROR(INDEX('Ref_Tolerance'!$B$2:$B$9,MATCH($J282,'Ref_Tolerance'!$A$2:$A$9,0)),""))</f>
        <v/>
      </c>
      <c r="L282" s="23">
        <f>IF($A282="","",IFERROR(INDEX('Ref_Tolerance'!$D$2:$D$9,MATCH($J282,'Ref_Tolerance'!$A$2:$A$9,0)),""))</f>
        <v/>
      </c>
      <c r="M282" s="24">
        <f>IF($A282="","",IFERROR(ABS(N($D282))/N($C282),0))</f>
        <v/>
      </c>
      <c r="N282" s="24">
        <f>IF($A282="","",IFERROR(N($E282)/N($C282),0))</f>
        <v/>
      </c>
      <c r="O282" s="23">
        <f>IF($A282="",0,IFERROR(SUMPRODUCT(($A$8:$A$307=$A282)*($P$8:$P$307="FAIL")*($U$8:$U$307&gt;$V282)*($U$8:$U$307&lt;=$U282)),0))</f>
        <v/>
      </c>
      <c r="P282" s="23">
        <f>IF($A282="","",IFERROR(IF(NOT(ISNUMBER($K282)),"CHECK",IF($L282="MARGIN",IF($N282&lt;=$K282,"PASS","FAIL"),IF($M282&lt;=$K282,"PASS","FAIL"))),"CHECK"))</f>
        <v/>
      </c>
      <c r="Q282" s="23">
        <f>IF($A282="","",IFERROR(INDEX('Ref_Tolerance'!$E$2:$E$9,MATCH($J282,'Ref_Tolerance'!$A$2:$A$9,0)),""))</f>
        <v/>
      </c>
      <c r="R282" s="23">
        <f>IF($A282="","",IFERROR(IF($O282=0,"CLEAR",IF($O282=1,"MFR DUE - MANAGER",IF($O282=2,"MFR DUE - FSS/CC SIGNATURE REQUIRED","INVESTIGATION + REPORT OF SURVEY; MSG/CC NOTIFIED"))),""))</f>
        <v/>
      </c>
      <c r="S282" s="23">
        <f>IF($A282="","",IF($O282=2,"WATCH - ONE MORE MISS TRIGGERS INVESTIGATION",""))</f>
        <v/>
      </c>
      <c r="T282" s="23">
        <f>IF($A282="","",IFERROR(IF(AND($O282&gt;=1,$F282&lt;&gt;"Y"),"MFR NOT SUBMITTED",IF(AND($O282&gt;=2,$G282&lt;&gt;"Y"),"FSS/CC SIGNATURE MISSING",IF(AND($O282&gt;=3,$H282&lt;&gt;"Y"),"INVESTIGATION NOT OPENED",""))),""))</f>
        <v/>
      </c>
      <c r="U282" s="25">
        <f>IF($A282="",0,IFERROR(MATCH($B282,'Ref_Calendar'!$A$2:$A$500,0),0))</f>
        <v/>
      </c>
      <c r="V282" s="25">
        <f>IF($A282="",0,IFERROR(SUMPRODUCT(MAX(($A$8:$A$307=$A282)*($P$8:$P$307="PASS")*($U$8:$U$307&lt;=$U282)*$U$8:$U$307)),0))</f>
        <v/>
      </c>
      <c r="W282" s="25">
        <f>IF($A282="","",IFERROR(INDEX('Ref_Crosswalk'!$E$2:$E$500,MATCH($A282,'Ref_Crosswalk'!$A$2:$A$500,0)),""))</f>
        <v/>
      </c>
      <c r="X282" s="25">
        <f>IF($A282="","",IFERROR(INDEX('Ref_Crosswalk'!$C$2:$C$500,MATCH($A282,'Ref_Crosswalk'!$A$2:$A$500,0)),""))</f>
        <v/>
      </c>
      <c r="Y282" s="25">
        <f>IF($A282="",0,IF(AND(OR('Out_Dashboard'!$C$5="",$W282='Out_Dashboard'!$C$5),OR('Out_Dashboard'!$C$6="",$X282='Out_Dashboard'!$C$6),OR('Out_Dashboard'!$C$7="",$B282='Out_Dashboard'!$C$7)),1,0))</f>
        <v/>
      </c>
      <c r="Z282" s="25">
        <f>IF(AND($A282&lt;&gt;"",$S282&lt;&gt;"",$Y282=1),SUMPRODUCT(($A$8:$A282&lt;&gt;"")*($S$8:$S282&lt;&gt;"")*($Y$8:$Y282=1)),"")</f>
        <v/>
      </c>
      <c r="AA282" s="25">
        <f>IF(AND($A282&lt;&gt;"",$T282&lt;&gt;"",$Y282=1),SUMPRODUCT(($A$8:$A282&lt;&gt;"")*($T$8:$T282&lt;&gt;"")*($Y$8:$Y282=1)),"")</f>
        <v/>
      </c>
    </row>
    <row r="283">
      <c r="A283" s="13" t="n"/>
      <c r="B283" s="13" t="n"/>
      <c r="C283" s="26" t="n"/>
      <c r="D283" s="26" t="n"/>
      <c r="E283" s="26" t="n"/>
      <c r="F283" s="13" t="n"/>
      <c r="G283" s="13" t="n"/>
      <c r="H283" s="13" t="n"/>
      <c r="I283" s="13" t="n"/>
      <c r="J283" s="23">
        <f>IF($A283="","",IFERROR(INDEX('Ref_Crosswalk'!$F$2:$F$500,MATCH($A283,'Ref_Crosswalk'!$A$2:$A$500,0)),"UNKNOWN"))</f>
        <v/>
      </c>
      <c r="K283" s="24">
        <f>IF($A283="","",IFERROR(INDEX('Ref_Tolerance'!$B$2:$B$9,MATCH($J283,'Ref_Tolerance'!$A$2:$A$9,0)),""))</f>
        <v/>
      </c>
      <c r="L283" s="23">
        <f>IF($A283="","",IFERROR(INDEX('Ref_Tolerance'!$D$2:$D$9,MATCH($J283,'Ref_Tolerance'!$A$2:$A$9,0)),""))</f>
        <v/>
      </c>
      <c r="M283" s="24">
        <f>IF($A283="","",IFERROR(ABS(N($D283))/N($C283),0))</f>
        <v/>
      </c>
      <c r="N283" s="24">
        <f>IF($A283="","",IFERROR(N($E283)/N($C283),0))</f>
        <v/>
      </c>
      <c r="O283" s="23">
        <f>IF($A283="",0,IFERROR(SUMPRODUCT(($A$8:$A$307=$A283)*($P$8:$P$307="FAIL")*($U$8:$U$307&gt;$V283)*($U$8:$U$307&lt;=$U283)),0))</f>
        <v/>
      </c>
      <c r="P283" s="23">
        <f>IF($A283="","",IFERROR(IF(NOT(ISNUMBER($K283)),"CHECK",IF($L283="MARGIN",IF($N283&lt;=$K283,"PASS","FAIL"),IF($M283&lt;=$K283,"PASS","FAIL"))),"CHECK"))</f>
        <v/>
      </c>
      <c r="Q283" s="23">
        <f>IF($A283="","",IFERROR(INDEX('Ref_Tolerance'!$E$2:$E$9,MATCH($J283,'Ref_Tolerance'!$A$2:$A$9,0)),""))</f>
        <v/>
      </c>
      <c r="R283" s="23">
        <f>IF($A283="","",IFERROR(IF($O283=0,"CLEAR",IF($O283=1,"MFR DUE - MANAGER",IF($O283=2,"MFR DUE - FSS/CC SIGNATURE REQUIRED","INVESTIGATION + REPORT OF SURVEY; MSG/CC NOTIFIED"))),""))</f>
        <v/>
      </c>
      <c r="S283" s="23">
        <f>IF($A283="","",IF($O283=2,"WATCH - ONE MORE MISS TRIGGERS INVESTIGATION",""))</f>
        <v/>
      </c>
      <c r="T283" s="23">
        <f>IF($A283="","",IFERROR(IF(AND($O283&gt;=1,$F283&lt;&gt;"Y"),"MFR NOT SUBMITTED",IF(AND($O283&gt;=2,$G283&lt;&gt;"Y"),"FSS/CC SIGNATURE MISSING",IF(AND($O283&gt;=3,$H283&lt;&gt;"Y"),"INVESTIGATION NOT OPENED",""))),""))</f>
        <v/>
      </c>
      <c r="U283" s="25">
        <f>IF($A283="",0,IFERROR(MATCH($B283,'Ref_Calendar'!$A$2:$A$500,0),0))</f>
        <v/>
      </c>
      <c r="V283" s="25">
        <f>IF($A283="",0,IFERROR(SUMPRODUCT(MAX(($A$8:$A$307=$A283)*($P$8:$P$307="PASS")*($U$8:$U$307&lt;=$U283)*$U$8:$U$307)),0))</f>
        <v/>
      </c>
      <c r="W283" s="25">
        <f>IF($A283="","",IFERROR(INDEX('Ref_Crosswalk'!$E$2:$E$500,MATCH($A283,'Ref_Crosswalk'!$A$2:$A$500,0)),""))</f>
        <v/>
      </c>
      <c r="X283" s="25">
        <f>IF($A283="","",IFERROR(INDEX('Ref_Crosswalk'!$C$2:$C$500,MATCH($A283,'Ref_Crosswalk'!$A$2:$A$500,0)),""))</f>
        <v/>
      </c>
      <c r="Y283" s="25">
        <f>IF($A283="",0,IF(AND(OR('Out_Dashboard'!$C$5="",$W283='Out_Dashboard'!$C$5),OR('Out_Dashboard'!$C$6="",$X283='Out_Dashboard'!$C$6),OR('Out_Dashboard'!$C$7="",$B283='Out_Dashboard'!$C$7)),1,0))</f>
        <v/>
      </c>
      <c r="Z283" s="25">
        <f>IF(AND($A283&lt;&gt;"",$S283&lt;&gt;"",$Y283=1),SUMPRODUCT(($A$8:$A283&lt;&gt;"")*($S$8:$S283&lt;&gt;"")*($Y$8:$Y283=1)),"")</f>
        <v/>
      </c>
      <c r="AA283" s="25">
        <f>IF(AND($A283&lt;&gt;"",$T283&lt;&gt;"",$Y283=1),SUMPRODUCT(($A$8:$A283&lt;&gt;"")*($T$8:$T283&lt;&gt;"")*($Y$8:$Y283=1)),"")</f>
        <v/>
      </c>
    </row>
    <row r="284">
      <c r="A284" s="13" t="n"/>
      <c r="B284" s="13" t="n"/>
      <c r="C284" s="26" t="n"/>
      <c r="D284" s="26" t="n"/>
      <c r="E284" s="26" t="n"/>
      <c r="F284" s="13" t="n"/>
      <c r="G284" s="13" t="n"/>
      <c r="H284" s="13" t="n"/>
      <c r="I284" s="13" t="n"/>
      <c r="J284" s="23">
        <f>IF($A284="","",IFERROR(INDEX('Ref_Crosswalk'!$F$2:$F$500,MATCH($A284,'Ref_Crosswalk'!$A$2:$A$500,0)),"UNKNOWN"))</f>
        <v/>
      </c>
      <c r="K284" s="24">
        <f>IF($A284="","",IFERROR(INDEX('Ref_Tolerance'!$B$2:$B$9,MATCH($J284,'Ref_Tolerance'!$A$2:$A$9,0)),""))</f>
        <v/>
      </c>
      <c r="L284" s="23">
        <f>IF($A284="","",IFERROR(INDEX('Ref_Tolerance'!$D$2:$D$9,MATCH($J284,'Ref_Tolerance'!$A$2:$A$9,0)),""))</f>
        <v/>
      </c>
      <c r="M284" s="24">
        <f>IF($A284="","",IFERROR(ABS(N($D284))/N($C284),0))</f>
        <v/>
      </c>
      <c r="N284" s="24">
        <f>IF($A284="","",IFERROR(N($E284)/N($C284),0))</f>
        <v/>
      </c>
      <c r="O284" s="23">
        <f>IF($A284="",0,IFERROR(SUMPRODUCT(($A$8:$A$307=$A284)*($P$8:$P$307="FAIL")*($U$8:$U$307&gt;$V284)*($U$8:$U$307&lt;=$U284)),0))</f>
        <v/>
      </c>
      <c r="P284" s="23">
        <f>IF($A284="","",IFERROR(IF(NOT(ISNUMBER($K284)),"CHECK",IF($L284="MARGIN",IF($N284&lt;=$K284,"PASS","FAIL"),IF($M284&lt;=$K284,"PASS","FAIL"))),"CHECK"))</f>
        <v/>
      </c>
      <c r="Q284" s="23">
        <f>IF($A284="","",IFERROR(INDEX('Ref_Tolerance'!$E$2:$E$9,MATCH($J284,'Ref_Tolerance'!$A$2:$A$9,0)),""))</f>
        <v/>
      </c>
      <c r="R284" s="23">
        <f>IF($A284="","",IFERROR(IF($O284=0,"CLEAR",IF($O284=1,"MFR DUE - MANAGER",IF($O284=2,"MFR DUE - FSS/CC SIGNATURE REQUIRED","INVESTIGATION + REPORT OF SURVEY; MSG/CC NOTIFIED"))),""))</f>
        <v/>
      </c>
      <c r="S284" s="23">
        <f>IF($A284="","",IF($O284=2,"WATCH - ONE MORE MISS TRIGGERS INVESTIGATION",""))</f>
        <v/>
      </c>
      <c r="T284" s="23">
        <f>IF($A284="","",IFERROR(IF(AND($O284&gt;=1,$F284&lt;&gt;"Y"),"MFR NOT SUBMITTED",IF(AND($O284&gt;=2,$G284&lt;&gt;"Y"),"FSS/CC SIGNATURE MISSING",IF(AND($O284&gt;=3,$H284&lt;&gt;"Y"),"INVESTIGATION NOT OPENED",""))),""))</f>
        <v/>
      </c>
      <c r="U284" s="25">
        <f>IF($A284="",0,IFERROR(MATCH($B284,'Ref_Calendar'!$A$2:$A$500,0),0))</f>
        <v/>
      </c>
      <c r="V284" s="25">
        <f>IF($A284="",0,IFERROR(SUMPRODUCT(MAX(($A$8:$A$307=$A284)*($P$8:$P$307="PASS")*($U$8:$U$307&lt;=$U284)*$U$8:$U$307)),0))</f>
        <v/>
      </c>
      <c r="W284" s="25">
        <f>IF($A284="","",IFERROR(INDEX('Ref_Crosswalk'!$E$2:$E$500,MATCH($A284,'Ref_Crosswalk'!$A$2:$A$500,0)),""))</f>
        <v/>
      </c>
      <c r="X284" s="25">
        <f>IF($A284="","",IFERROR(INDEX('Ref_Crosswalk'!$C$2:$C$500,MATCH($A284,'Ref_Crosswalk'!$A$2:$A$500,0)),""))</f>
        <v/>
      </c>
      <c r="Y284" s="25">
        <f>IF($A284="",0,IF(AND(OR('Out_Dashboard'!$C$5="",$W284='Out_Dashboard'!$C$5),OR('Out_Dashboard'!$C$6="",$X284='Out_Dashboard'!$C$6),OR('Out_Dashboard'!$C$7="",$B284='Out_Dashboard'!$C$7)),1,0))</f>
        <v/>
      </c>
      <c r="Z284" s="25">
        <f>IF(AND($A284&lt;&gt;"",$S284&lt;&gt;"",$Y284=1),SUMPRODUCT(($A$8:$A284&lt;&gt;"")*($S$8:$S284&lt;&gt;"")*($Y$8:$Y284=1)),"")</f>
        <v/>
      </c>
      <c r="AA284" s="25">
        <f>IF(AND($A284&lt;&gt;"",$T284&lt;&gt;"",$Y284=1),SUMPRODUCT(($A$8:$A284&lt;&gt;"")*($T$8:$T284&lt;&gt;"")*($Y$8:$Y284=1)),"")</f>
        <v/>
      </c>
    </row>
    <row r="285">
      <c r="A285" s="13" t="n"/>
      <c r="B285" s="13" t="n"/>
      <c r="C285" s="26" t="n"/>
      <c r="D285" s="26" t="n"/>
      <c r="E285" s="26" t="n"/>
      <c r="F285" s="13" t="n"/>
      <c r="G285" s="13" t="n"/>
      <c r="H285" s="13" t="n"/>
      <c r="I285" s="13" t="n"/>
      <c r="J285" s="23">
        <f>IF($A285="","",IFERROR(INDEX('Ref_Crosswalk'!$F$2:$F$500,MATCH($A285,'Ref_Crosswalk'!$A$2:$A$500,0)),"UNKNOWN"))</f>
        <v/>
      </c>
      <c r="K285" s="24">
        <f>IF($A285="","",IFERROR(INDEX('Ref_Tolerance'!$B$2:$B$9,MATCH($J285,'Ref_Tolerance'!$A$2:$A$9,0)),""))</f>
        <v/>
      </c>
      <c r="L285" s="23">
        <f>IF($A285="","",IFERROR(INDEX('Ref_Tolerance'!$D$2:$D$9,MATCH($J285,'Ref_Tolerance'!$A$2:$A$9,0)),""))</f>
        <v/>
      </c>
      <c r="M285" s="24">
        <f>IF($A285="","",IFERROR(ABS(N($D285))/N($C285),0))</f>
        <v/>
      </c>
      <c r="N285" s="24">
        <f>IF($A285="","",IFERROR(N($E285)/N($C285),0))</f>
        <v/>
      </c>
      <c r="O285" s="23">
        <f>IF($A285="",0,IFERROR(SUMPRODUCT(($A$8:$A$307=$A285)*($P$8:$P$307="FAIL")*($U$8:$U$307&gt;$V285)*($U$8:$U$307&lt;=$U285)),0))</f>
        <v/>
      </c>
      <c r="P285" s="23">
        <f>IF($A285="","",IFERROR(IF(NOT(ISNUMBER($K285)),"CHECK",IF($L285="MARGIN",IF($N285&lt;=$K285,"PASS","FAIL"),IF($M285&lt;=$K285,"PASS","FAIL"))),"CHECK"))</f>
        <v/>
      </c>
      <c r="Q285" s="23">
        <f>IF($A285="","",IFERROR(INDEX('Ref_Tolerance'!$E$2:$E$9,MATCH($J285,'Ref_Tolerance'!$A$2:$A$9,0)),""))</f>
        <v/>
      </c>
      <c r="R285" s="23">
        <f>IF($A285="","",IFERROR(IF($O285=0,"CLEAR",IF($O285=1,"MFR DUE - MANAGER",IF($O285=2,"MFR DUE - FSS/CC SIGNATURE REQUIRED","INVESTIGATION + REPORT OF SURVEY; MSG/CC NOTIFIED"))),""))</f>
        <v/>
      </c>
      <c r="S285" s="23">
        <f>IF($A285="","",IF($O285=2,"WATCH - ONE MORE MISS TRIGGERS INVESTIGATION",""))</f>
        <v/>
      </c>
      <c r="T285" s="23">
        <f>IF($A285="","",IFERROR(IF(AND($O285&gt;=1,$F285&lt;&gt;"Y"),"MFR NOT SUBMITTED",IF(AND($O285&gt;=2,$G285&lt;&gt;"Y"),"FSS/CC SIGNATURE MISSING",IF(AND($O285&gt;=3,$H285&lt;&gt;"Y"),"INVESTIGATION NOT OPENED",""))),""))</f>
        <v/>
      </c>
      <c r="U285" s="25">
        <f>IF($A285="",0,IFERROR(MATCH($B285,'Ref_Calendar'!$A$2:$A$500,0),0))</f>
        <v/>
      </c>
      <c r="V285" s="25">
        <f>IF($A285="",0,IFERROR(SUMPRODUCT(MAX(($A$8:$A$307=$A285)*($P$8:$P$307="PASS")*($U$8:$U$307&lt;=$U285)*$U$8:$U$307)),0))</f>
        <v/>
      </c>
      <c r="W285" s="25">
        <f>IF($A285="","",IFERROR(INDEX('Ref_Crosswalk'!$E$2:$E$500,MATCH($A285,'Ref_Crosswalk'!$A$2:$A$500,0)),""))</f>
        <v/>
      </c>
      <c r="X285" s="25">
        <f>IF($A285="","",IFERROR(INDEX('Ref_Crosswalk'!$C$2:$C$500,MATCH($A285,'Ref_Crosswalk'!$A$2:$A$500,0)),""))</f>
        <v/>
      </c>
      <c r="Y285" s="25">
        <f>IF($A285="",0,IF(AND(OR('Out_Dashboard'!$C$5="",$W285='Out_Dashboard'!$C$5),OR('Out_Dashboard'!$C$6="",$X285='Out_Dashboard'!$C$6),OR('Out_Dashboard'!$C$7="",$B285='Out_Dashboard'!$C$7)),1,0))</f>
        <v/>
      </c>
      <c r="Z285" s="25">
        <f>IF(AND($A285&lt;&gt;"",$S285&lt;&gt;"",$Y285=1),SUMPRODUCT(($A$8:$A285&lt;&gt;"")*($S$8:$S285&lt;&gt;"")*($Y$8:$Y285=1)),"")</f>
        <v/>
      </c>
      <c r="AA285" s="25">
        <f>IF(AND($A285&lt;&gt;"",$T285&lt;&gt;"",$Y285=1),SUMPRODUCT(($A$8:$A285&lt;&gt;"")*($T$8:$T285&lt;&gt;"")*($Y$8:$Y285=1)),"")</f>
        <v/>
      </c>
    </row>
    <row r="286">
      <c r="A286" s="13" t="n"/>
      <c r="B286" s="13" t="n"/>
      <c r="C286" s="26" t="n"/>
      <c r="D286" s="26" t="n"/>
      <c r="E286" s="26" t="n"/>
      <c r="F286" s="13" t="n"/>
      <c r="G286" s="13" t="n"/>
      <c r="H286" s="13" t="n"/>
      <c r="I286" s="13" t="n"/>
      <c r="J286" s="23">
        <f>IF($A286="","",IFERROR(INDEX('Ref_Crosswalk'!$F$2:$F$500,MATCH($A286,'Ref_Crosswalk'!$A$2:$A$500,0)),"UNKNOWN"))</f>
        <v/>
      </c>
      <c r="K286" s="24">
        <f>IF($A286="","",IFERROR(INDEX('Ref_Tolerance'!$B$2:$B$9,MATCH($J286,'Ref_Tolerance'!$A$2:$A$9,0)),""))</f>
        <v/>
      </c>
      <c r="L286" s="23">
        <f>IF($A286="","",IFERROR(INDEX('Ref_Tolerance'!$D$2:$D$9,MATCH($J286,'Ref_Tolerance'!$A$2:$A$9,0)),""))</f>
        <v/>
      </c>
      <c r="M286" s="24">
        <f>IF($A286="","",IFERROR(ABS(N($D286))/N($C286),0))</f>
        <v/>
      </c>
      <c r="N286" s="24">
        <f>IF($A286="","",IFERROR(N($E286)/N($C286),0))</f>
        <v/>
      </c>
      <c r="O286" s="23">
        <f>IF($A286="",0,IFERROR(SUMPRODUCT(($A$8:$A$307=$A286)*($P$8:$P$307="FAIL")*($U$8:$U$307&gt;$V286)*($U$8:$U$307&lt;=$U286)),0))</f>
        <v/>
      </c>
      <c r="P286" s="23">
        <f>IF($A286="","",IFERROR(IF(NOT(ISNUMBER($K286)),"CHECK",IF($L286="MARGIN",IF($N286&lt;=$K286,"PASS","FAIL"),IF($M286&lt;=$K286,"PASS","FAIL"))),"CHECK"))</f>
        <v/>
      </c>
      <c r="Q286" s="23">
        <f>IF($A286="","",IFERROR(INDEX('Ref_Tolerance'!$E$2:$E$9,MATCH($J286,'Ref_Tolerance'!$A$2:$A$9,0)),""))</f>
        <v/>
      </c>
      <c r="R286" s="23">
        <f>IF($A286="","",IFERROR(IF($O286=0,"CLEAR",IF($O286=1,"MFR DUE - MANAGER",IF($O286=2,"MFR DUE - FSS/CC SIGNATURE REQUIRED","INVESTIGATION + REPORT OF SURVEY; MSG/CC NOTIFIED"))),""))</f>
        <v/>
      </c>
      <c r="S286" s="23">
        <f>IF($A286="","",IF($O286=2,"WATCH - ONE MORE MISS TRIGGERS INVESTIGATION",""))</f>
        <v/>
      </c>
      <c r="T286" s="23">
        <f>IF($A286="","",IFERROR(IF(AND($O286&gt;=1,$F286&lt;&gt;"Y"),"MFR NOT SUBMITTED",IF(AND($O286&gt;=2,$G286&lt;&gt;"Y"),"FSS/CC SIGNATURE MISSING",IF(AND($O286&gt;=3,$H286&lt;&gt;"Y"),"INVESTIGATION NOT OPENED",""))),""))</f>
        <v/>
      </c>
      <c r="U286" s="25">
        <f>IF($A286="",0,IFERROR(MATCH($B286,'Ref_Calendar'!$A$2:$A$500,0),0))</f>
        <v/>
      </c>
      <c r="V286" s="25">
        <f>IF($A286="",0,IFERROR(SUMPRODUCT(MAX(($A$8:$A$307=$A286)*($P$8:$P$307="PASS")*($U$8:$U$307&lt;=$U286)*$U$8:$U$307)),0))</f>
        <v/>
      </c>
      <c r="W286" s="25">
        <f>IF($A286="","",IFERROR(INDEX('Ref_Crosswalk'!$E$2:$E$500,MATCH($A286,'Ref_Crosswalk'!$A$2:$A$500,0)),""))</f>
        <v/>
      </c>
      <c r="X286" s="25">
        <f>IF($A286="","",IFERROR(INDEX('Ref_Crosswalk'!$C$2:$C$500,MATCH($A286,'Ref_Crosswalk'!$A$2:$A$500,0)),""))</f>
        <v/>
      </c>
      <c r="Y286" s="25">
        <f>IF($A286="",0,IF(AND(OR('Out_Dashboard'!$C$5="",$W286='Out_Dashboard'!$C$5),OR('Out_Dashboard'!$C$6="",$X286='Out_Dashboard'!$C$6),OR('Out_Dashboard'!$C$7="",$B286='Out_Dashboard'!$C$7)),1,0))</f>
        <v/>
      </c>
      <c r="Z286" s="25">
        <f>IF(AND($A286&lt;&gt;"",$S286&lt;&gt;"",$Y286=1),SUMPRODUCT(($A$8:$A286&lt;&gt;"")*($S$8:$S286&lt;&gt;"")*($Y$8:$Y286=1)),"")</f>
        <v/>
      </c>
      <c r="AA286" s="25">
        <f>IF(AND($A286&lt;&gt;"",$T286&lt;&gt;"",$Y286=1),SUMPRODUCT(($A$8:$A286&lt;&gt;"")*($T$8:$T286&lt;&gt;"")*($Y$8:$Y286=1)),"")</f>
        <v/>
      </c>
    </row>
    <row r="287">
      <c r="A287" s="13" t="n"/>
      <c r="B287" s="13" t="n"/>
      <c r="C287" s="26" t="n"/>
      <c r="D287" s="26" t="n"/>
      <c r="E287" s="26" t="n"/>
      <c r="F287" s="13" t="n"/>
      <c r="G287" s="13" t="n"/>
      <c r="H287" s="13" t="n"/>
      <c r="I287" s="13" t="n"/>
      <c r="J287" s="23">
        <f>IF($A287="","",IFERROR(INDEX('Ref_Crosswalk'!$F$2:$F$500,MATCH($A287,'Ref_Crosswalk'!$A$2:$A$500,0)),"UNKNOWN"))</f>
        <v/>
      </c>
      <c r="K287" s="24">
        <f>IF($A287="","",IFERROR(INDEX('Ref_Tolerance'!$B$2:$B$9,MATCH($J287,'Ref_Tolerance'!$A$2:$A$9,0)),""))</f>
        <v/>
      </c>
      <c r="L287" s="23">
        <f>IF($A287="","",IFERROR(INDEX('Ref_Tolerance'!$D$2:$D$9,MATCH($J287,'Ref_Tolerance'!$A$2:$A$9,0)),""))</f>
        <v/>
      </c>
      <c r="M287" s="24">
        <f>IF($A287="","",IFERROR(ABS(N($D287))/N($C287),0))</f>
        <v/>
      </c>
      <c r="N287" s="24">
        <f>IF($A287="","",IFERROR(N($E287)/N($C287),0))</f>
        <v/>
      </c>
      <c r="O287" s="23">
        <f>IF($A287="",0,IFERROR(SUMPRODUCT(($A$8:$A$307=$A287)*($P$8:$P$307="FAIL")*($U$8:$U$307&gt;$V287)*($U$8:$U$307&lt;=$U287)),0))</f>
        <v/>
      </c>
      <c r="P287" s="23">
        <f>IF($A287="","",IFERROR(IF(NOT(ISNUMBER($K287)),"CHECK",IF($L287="MARGIN",IF($N287&lt;=$K287,"PASS","FAIL"),IF($M287&lt;=$K287,"PASS","FAIL"))),"CHECK"))</f>
        <v/>
      </c>
      <c r="Q287" s="23">
        <f>IF($A287="","",IFERROR(INDEX('Ref_Tolerance'!$E$2:$E$9,MATCH($J287,'Ref_Tolerance'!$A$2:$A$9,0)),""))</f>
        <v/>
      </c>
      <c r="R287" s="23">
        <f>IF($A287="","",IFERROR(IF($O287=0,"CLEAR",IF($O287=1,"MFR DUE - MANAGER",IF($O287=2,"MFR DUE - FSS/CC SIGNATURE REQUIRED","INVESTIGATION + REPORT OF SURVEY; MSG/CC NOTIFIED"))),""))</f>
        <v/>
      </c>
      <c r="S287" s="23">
        <f>IF($A287="","",IF($O287=2,"WATCH - ONE MORE MISS TRIGGERS INVESTIGATION",""))</f>
        <v/>
      </c>
      <c r="T287" s="23">
        <f>IF($A287="","",IFERROR(IF(AND($O287&gt;=1,$F287&lt;&gt;"Y"),"MFR NOT SUBMITTED",IF(AND($O287&gt;=2,$G287&lt;&gt;"Y"),"FSS/CC SIGNATURE MISSING",IF(AND($O287&gt;=3,$H287&lt;&gt;"Y"),"INVESTIGATION NOT OPENED",""))),""))</f>
        <v/>
      </c>
      <c r="U287" s="25">
        <f>IF($A287="",0,IFERROR(MATCH($B287,'Ref_Calendar'!$A$2:$A$500,0),0))</f>
        <v/>
      </c>
      <c r="V287" s="25">
        <f>IF($A287="",0,IFERROR(SUMPRODUCT(MAX(($A$8:$A$307=$A287)*($P$8:$P$307="PASS")*($U$8:$U$307&lt;=$U287)*$U$8:$U$307)),0))</f>
        <v/>
      </c>
      <c r="W287" s="25">
        <f>IF($A287="","",IFERROR(INDEX('Ref_Crosswalk'!$E$2:$E$500,MATCH($A287,'Ref_Crosswalk'!$A$2:$A$500,0)),""))</f>
        <v/>
      </c>
      <c r="X287" s="25">
        <f>IF($A287="","",IFERROR(INDEX('Ref_Crosswalk'!$C$2:$C$500,MATCH($A287,'Ref_Crosswalk'!$A$2:$A$500,0)),""))</f>
        <v/>
      </c>
      <c r="Y287" s="25">
        <f>IF($A287="",0,IF(AND(OR('Out_Dashboard'!$C$5="",$W287='Out_Dashboard'!$C$5),OR('Out_Dashboard'!$C$6="",$X287='Out_Dashboard'!$C$6),OR('Out_Dashboard'!$C$7="",$B287='Out_Dashboard'!$C$7)),1,0))</f>
        <v/>
      </c>
      <c r="Z287" s="25">
        <f>IF(AND($A287&lt;&gt;"",$S287&lt;&gt;"",$Y287=1),SUMPRODUCT(($A$8:$A287&lt;&gt;"")*($S$8:$S287&lt;&gt;"")*($Y$8:$Y287=1)),"")</f>
        <v/>
      </c>
      <c r="AA287" s="25">
        <f>IF(AND($A287&lt;&gt;"",$T287&lt;&gt;"",$Y287=1),SUMPRODUCT(($A$8:$A287&lt;&gt;"")*($T$8:$T287&lt;&gt;"")*($Y$8:$Y287=1)),"")</f>
        <v/>
      </c>
    </row>
    <row r="288">
      <c r="A288" s="13" t="n"/>
      <c r="B288" s="13" t="n"/>
      <c r="C288" s="26" t="n"/>
      <c r="D288" s="26" t="n"/>
      <c r="E288" s="26" t="n"/>
      <c r="F288" s="13" t="n"/>
      <c r="G288" s="13" t="n"/>
      <c r="H288" s="13" t="n"/>
      <c r="I288" s="13" t="n"/>
      <c r="J288" s="23">
        <f>IF($A288="","",IFERROR(INDEX('Ref_Crosswalk'!$F$2:$F$500,MATCH($A288,'Ref_Crosswalk'!$A$2:$A$500,0)),"UNKNOWN"))</f>
        <v/>
      </c>
      <c r="K288" s="24">
        <f>IF($A288="","",IFERROR(INDEX('Ref_Tolerance'!$B$2:$B$9,MATCH($J288,'Ref_Tolerance'!$A$2:$A$9,0)),""))</f>
        <v/>
      </c>
      <c r="L288" s="23">
        <f>IF($A288="","",IFERROR(INDEX('Ref_Tolerance'!$D$2:$D$9,MATCH($J288,'Ref_Tolerance'!$A$2:$A$9,0)),""))</f>
        <v/>
      </c>
      <c r="M288" s="24">
        <f>IF($A288="","",IFERROR(ABS(N($D288))/N($C288),0))</f>
        <v/>
      </c>
      <c r="N288" s="24">
        <f>IF($A288="","",IFERROR(N($E288)/N($C288),0))</f>
        <v/>
      </c>
      <c r="O288" s="23">
        <f>IF($A288="",0,IFERROR(SUMPRODUCT(($A$8:$A$307=$A288)*($P$8:$P$307="FAIL")*($U$8:$U$307&gt;$V288)*($U$8:$U$307&lt;=$U288)),0))</f>
        <v/>
      </c>
      <c r="P288" s="23">
        <f>IF($A288="","",IFERROR(IF(NOT(ISNUMBER($K288)),"CHECK",IF($L288="MARGIN",IF($N288&lt;=$K288,"PASS","FAIL"),IF($M288&lt;=$K288,"PASS","FAIL"))),"CHECK"))</f>
        <v/>
      </c>
      <c r="Q288" s="23">
        <f>IF($A288="","",IFERROR(INDEX('Ref_Tolerance'!$E$2:$E$9,MATCH($J288,'Ref_Tolerance'!$A$2:$A$9,0)),""))</f>
        <v/>
      </c>
      <c r="R288" s="23">
        <f>IF($A288="","",IFERROR(IF($O288=0,"CLEAR",IF($O288=1,"MFR DUE - MANAGER",IF($O288=2,"MFR DUE - FSS/CC SIGNATURE REQUIRED","INVESTIGATION + REPORT OF SURVEY; MSG/CC NOTIFIED"))),""))</f>
        <v/>
      </c>
      <c r="S288" s="23">
        <f>IF($A288="","",IF($O288=2,"WATCH - ONE MORE MISS TRIGGERS INVESTIGATION",""))</f>
        <v/>
      </c>
      <c r="T288" s="23">
        <f>IF($A288="","",IFERROR(IF(AND($O288&gt;=1,$F288&lt;&gt;"Y"),"MFR NOT SUBMITTED",IF(AND($O288&gt;=2,$G288&lt;&gt;"Y"),"FSS/CC SIGNATURE MISSING",IF(AND($O288&gt;=3,$H288&lt;&gt;"Y"),"INVESTIGATION NOT OPENED",""))),""))</f>
        <v/>
      </c>
      <c r="U288" s="25">
        <f>IF($A288="",0,IFERROR(MATCH($B288,'Ref_Calendar'!$A$2:$A$500,0),0))</f>
        <v/>
      </c>
      <c r="V288" s="25">
        <f>IF($A288="",0,IFERROR(SUMPRODUCT(MAX(($A$8:$A$307=$A288)*($P$8:$P$307="PASS")*($U$8:$U$307&lt;=$U288)*$U$8:$U$307)),0))</f>
        <v/>
      </c>
      <c r="W288" s="25">
        <f>IF($A288="","",IFERROR(INDEX('Ref_Crosswalk'!$E$2:$E$500,MATCH($A288,'Ref_Crosswalk'!$A$2:$A$500,0)),""))</f>
        <v/>
      </c>
      <c r="X288" s="25">
        <f>IF($A288="","",IFERROR(INDEX('Ref_Crosswalk'!$C$2:$C$500,MATCH($A288,'Ref_Crosswalk'!$A$2:$A$500,0)),""))</f>
        <v/>
      </c>
      <c r="Y288" s="25">
        <f>IF($A288="",0,IF(AND(OR('Out_Dashboard'!$C$5="",$W288='Out_Dashboard'!$C$5),OR('Out_Dashboard'!$C$6="",$X288='Out_Dashboard'!$C$6),OR('Out_Dashboard'!$C$7="",$B288='Out_Dashboard'!$C$7)),1,0))</f>
        <v/>
      </c>
      <c r="Z288" s="25">
        <f>IF(AND($A288&lt;&gt;"",$S288&lt;&gt;"",$Y288=1),SUMPRODUCT(($A$8:$A288&lt;&gt;"")*($S$8:$S288&lt;&gt;"")*($Y$8:$Y288=1)),"")</f>
        <v/>
      </c>
      <c r="AA288" s="25">
        <f>IF(AND($A288&lt;&gt;"",$T288&lt;&gt;"",$Y288=1),SUMPRODUCT(($A$8:$A288&lt;&gt;"")*($T$8:$T288&lt;&gt;"")*($Y$8:$Y288=1)),"")</f>
        <v/>
      </c>
    </row>
    <row r="289">
      <c r="A289" s="13" t="n"/>
      <c r="B289" s="13" t="n"/>
      <c r="C289" s="26" t="n"/>
      <c r="D289" s="26" t="n"/>
      <c r="E289" s="26" t="n"/>
      <c r="F289" s="13" t="n"/>
      <c r="G289" s="13" t="n"/>
      <c r="H289" s="13" t="n"/>
      <c r="I289" s="13" t="n"/>
      <c r="J289" s="23">
        <f>IF($A289="","",IFERROR(INDEX('Ref_Crosswalk'!$F$2:$F$500,MATCH($A289,'Ref_Crosswalk'!$A$2:$A$500,0)),"UNKNOWN"))</f>
        <v/>
      </c>
      <c r="K289" s="24">
        <f>IF($A289="","",IFERROR(INDEX('Ref_Tolerance'!$B$2:$B$9,MATCH($J289,'Ref_Tolerance'!$A$2:$A$9,0)),""))</f>
        <v/>
      </c>
      <c r="L289" s="23">
        <f>IF($A289="","",IFERROR(INDEX('Ref_Tolerance'!$D$2:$D$9,MATCH($J289,'Ref_Tolerance'!$A$2:$A$9,0)),""))</f>
        <v/>
      </c>
      <c r="M289" s="24">
        <f>IF($A289="","",IFERROR(ABS(N($D289))/N($C289),0))</f>
        <v/>
      </c>
      <c r="N289" s="24">
        <f>IF($A289="","",IFERROR(N($E289)/N($C289),0))</f>
        <v/>
      </c>
      <c r="O289" s="23">
        <f>IF($A289="",0,IFERROR(SUMPRODUCT(($A$8:$A$307=$A289)*($P$8:$P$307="FAIL")*($U$8:$U$307&gt;$V289)*($U$8:$U$307&lt;=$U289)),0))</f>
        <v/>
      </c>
      <c r="P289" s="23">
        <f>IF($A289="","",IFERROR(IF(NOT(ISNUMBER($K289)),"CHECK",IF($L289="MARGIN",IF($N289&lt;=$K289,"PASS","FAIL"),IF($M289&lt;=$K289,"PASS","FAIL"))),"CHECK"))</f>
        <v/>
      </c>
      <c r="Q289" s="23">
        <f>IF($A289="","",IFERROR(INDEX('Ref_Tolerance'!$E$2:$E$9,MATCH($J289,'Ref_Tolerance'!$A$2:$A$9,0)),""))</f>
        <v/>
      </c>
      <c r="R289" s="23">
        <f>IF($A289="","",IFERROR(IF($O289=0,"CLEAR",IF($O289=1,"MFR DUE - MANAGER",IF($O289=2,"MFR DUE - FSS/CC SIGNATURE REQUIRED","INVESTIGATION + REPORT OF SURVEY; MSG/CC NOTIFIED"))),""))</f>
        <v/>
      </c>
      <c r="S289" s="23">
        <f>IF($A289="","",IF($O289=2,"WATCH - ONE MORE MISS TRIGGERS INVESTIGATION",""))</f>
        <v/>
      </c>
      <c r="T289" s="23">
        <f>IF($A289="","",IFERROR(IF(AND($O289&gt;=1,$F289&lt;&gt;"Y"),"MFR NOT SUBMITTED",IF(AND($O289&gt;=2,$G289&lt;&gt;"Y"),"FSS/CC SIGNATURE MISSING",IF(AND($O289&gt;=3,$H289&lt;&gt;"Y"),"INVESTIGATION NOT OPENED",""))),""))</f>
        <v/>
      </c>
      <c r="U289" s="25">
        <f>IF($A289="",0,IFERROR(MATCH($B289,'Ref_Calendar'!$A$2:$A$500,0),0))</f>
        <v/>
      </c>
      <c r="V289" s="25">
        <f>IF($A289="",0,IFERROR(SUMPRODUCT(MAX(($A$8:$A$307=$A289)*($P$8:$P$307="PASS")*($U$8:$U$307&lt;=$U289)*$U$8:$U$307)),0))</f>
        <v/>
      </c>
      <c r="W289" s="25">
        <f>IF($A289="","",IFERROR(INDEX('Ref_Crosswalk'!$E$2:$E$500,MATCH($A289,'Ref_Crosswalk'!$A$2:$A$500,0)),""))</f>
        <v/>
      </c>
      <c r="X289" s="25">
        <f>IF($A289="","",IFERROR(INDEX('Ref_Crosswalk'!$C$2:$C$500,MATCH($A289,'Ref_Crosswalk'!$A$2:$A$500,0)),""))</f>
        <v/>
      </c>
      <c r="Y289" s="25">
        <f>IF($A289="",0,IF(AND(OR('Out_Dashboard'!$C$5="",$W289='Out_Dashboard'!$C$5),OR('Out_Dashboard'!$C$6="",$X289='Out_Dashboard'!$C$6),OR('Out_Dashboard'!$C$7="",$B289='Out_Dashboard'!$C$7)),1,0))</f>
        <v/>
      </c>
      <c r="Z289" s="25">
        <f>IF(AND($A289&lt;&gt;"",$S289&lt;&gt;"",$Y289=1),SUMPRODUCT(($A$8:$A289&lt;&gt;"")*($S$8:$S289&lt;&gt;"")*($Y$8:$Y289=1)),"")</f>
        <v/>
      </c>
      <c r="AA289" s="25">
        <f>IF(AND($A289&lt;&gt;"",$T289&lt;&gt;"",$Y289=1),SUMPRODUCT(($A$8:$A289&lt;&gt;"")*($T$8:$T289&lt;&gt;"")*($Y$8:$Y289=1)),"")</f>
        <v/>
      </c>
    </row>
    <row r="290">
      <c r="A290" s="13" t="n"/>
      <c r="B290" s="13" t="n"/>
      <c r="C290" s="26" t="n"/>
      <c r="D290" s="26" t="n"/>
      <c r="E290" s="26" t="n"/>
      <c r="F290" s="13" t="n"/>
      <c r="G290" s="13" t="n"/>
      <c r="H290" s="13" t="n"/>
      <c r="I290" s="13" t="n"/>
      <c r="J290" s="23">
        <f>IF($A290="","",IFERROR(INDEX('Ref_Crosswalk'!$F$2:$F$500,MATCH($A290,'Ref_Crosswalk'!$A$2:$A$500,0)),"UNKNOWN"))</f>
        <v/>
      </c>
      <c r="K290" s="24">
        <f>IF($A290="","",IFERROR(INDEX('Ref_Tolerance'!$B$2:$B$9,MATCH($J290,'Ref_Tolerance'!$A$2:$A$9,0)),""))</f>
        <v/>
      </c>
      <c r="L290" s="23">
        <f>IF($A290="","",IFERROR(INDEX('Ref_Tolerance'!$D$2:$D$9,MATCH($J290,'Ref_Tolerance'!$A$2:$A$9,0)),""))</f>
        <v/>
      </c>
      <c r="M290" s="24">
        <f>IF($A290="","",IFERROR(ABS(N($D290))/N($C290),0))</f>
        <v/>
      </c>
      <c r="N290" s="24">
        <f>IF($A290="","",IFERROR(N($E290)/N($C290),0))</f>
        <v/>
      </c>
      <c r="O290" s="23">
        <f>IF($A290="",0,IFERROR(SUMPRODUCT(($A$8:$A$307=$A290)*($P$8:$P$307="FAIL")*($U$8:$U$307&gt;$V290)*($U$8:$U$307&lt;=$U290)),0))</f>
        <v/>
      </c>
      <c r="P290" s="23">
        <f>IF($A290="","",IFERROR(IF(NOT(ISNUMBER($K290)),"CHECK",IF($L290="MARGIN",IF($N290&lt;=$K290,"PASS","FAIL"),IF($M290&lt;=$K290,"PASS","FAIL"))),"CHECK"))</f>
        <v/>
      </c>
      <c r="Q290" s="23">
        <f>IF($A290="","",IFERROR(INDEX('Ref_Tolerance'!$E$2:$E$9,MATCH($J290,'Ref_Tolerance'!$A$2:$A$9,0)),""))</f>
        <v/>
      </c>
      <c r="R290" s="23">
        <f>IF($A290="","",IFERROR(IF($O290=0,"CLEAR",IF($O290=1,"MFR DUE - MANAGER",IF($O290=2,"MFR DUE - FSS/CC SIGNATURE REQUIRED","INVESTIGATION + REPORT OF SURVEY; MSG/CC NOTIFIED"))),""))</f>
        <v/>
      </c>
      <c r="S290" s="23">
        <f>IF($A290="","",IF($O290=2,"WATCH - ONE MORE MISS TRIGGERS INVESTIGATION",""))</f>
        <v/>
      </c>
      <c r="T290" s="23">
        <f>IF($A290="","",IFERROR(IF(AND($O290&gt;=1,$F290&lt;&gt;"Y"),"MFR NOT SUBMITTED",IF(AND($O290&gt;=2,$G290&lt;&gt;"Y"),"FSS/CC SIGNATURE MISSING",IF(AND($O290&gt;=3,$H290&lt;&gt;"Y"),"INVESTIGATION NOT OPENED",""))),""))</f>
        <v/>
      </c>
      <c r="U290" s="25">
        <f>IF($A290="",0,IFERROR(MATCH($B290,'Ref_Calendar'!$A$2:$A$500,0),0))</f>
        <v/>
      </c>
      <c r="V290" s="25">
        <f>IF($A290="",0,IFERROR(SUMPRODUCT(MAX(($A$8:$A$307=$A290)*($P$8:$P$307="PASS")*($U$8:$U$307&lt;=$U290)*$U$8:$U$307)),0))</f>
        <v/>
      </c>
      <c r="W290" s="25">
        <f>IF($A290="","",IFERROR(INDEX('Ref_Crosswalk'!$E$2:$E$500,MATCH($A290,'Ref_Crosswalk'!$A$2:$A$500,0)),""))</f>
        <v/>
      </c>
      <c r="X290" s="25">
        <f>IF($A290="","",IFERROR(INDEX('Ref_Crosswalk'!$C$2:$C$500,MATCH($A290,'Ref_Crosswalk'!$A$2:$A$500,0)),""))</f>
        <v/>
      </c>
      <c r="Y290" s="25">
        <f>IF($A290="",0,IF(AND(OR('Out_Dashboard'!$C$5="",$W290='Out_Dashboard'!$C$5),OR('Out_Dashboard'!$C$6="",$X290='Out_Dashboard'!$C$6),OR('Out_Dashboard'!$C$7="",$B290='Out_Dashboard'!$C$7)),1,0))</f>
        <v/>
      </c>
      <c r="Z290" s="25">
        <f>IF(AND($A290&lt;&gt;"",$S290&lt;&gt;"",$Y290=1),SUMPRODUCT(($A$8:$A290&lt;&gt;"")*($S$8:$S290&lt;&gt;"")*($Y$8:$Y290=1)),"")</f>
        <v/>
      </c>
      <c r="AA290" s="25">
        <f>IF(AND($A290&lt;&gt;"",$T290&lt;&gt;"",$Y290=1),SUMPRODUCT(($A$8:$A290&lt;&gt;"")*($T$8:$T290&lt;&gt;"")*($Y$8:$Y290=1)),"")</f>
        <v/>
      </c>
    </row>
    <row r="291">
      <c r="A291" s="13" t="n"/>
      <c r="B291" s="13" t="n"/>
      <c r="C291" s="26" t="n"/>
      <c r="D291" s="26" t="n"/>
      <c r="E291" s="26" t="n"/>
      <c r="F291" s="13" t="n"/>
      <c r="G291" s="13" t="n"/>
      <c r="H291" s="13" t="n"/>
      <c r="I291" s="13" t="n"/>
      <c r="J291" s="23">
        <f>IF($A291="","",IFERROR(INDEX('Ref_Crosswalk'!$F$2:$F$500,MATCH($A291,'Ref_Crosswalk'!$A$2:$A$500,0)),"UNKNOWN"))</f>
        <v/>
      </c>
      <c r="K291" s="24">
        <f>IF($A291="","",IFERROR(INDEX('Ref_Tolerance'!$B$2:$B$9,MATCH($J291,'Ref_Tolerance'!$A$2:$A$9,0)),""))</f>
        <v/>
      </c>
      <c r="L291" s="23">
        <f>IF($A291="","",IFERROR(INDEX('Ref_Tolerance'!$D$2:$D$9,MATCH($J291,'Ref_Tolerance'!$A$2:$A$9,0)),""))</f>
        <v/>
      </c>
      <c r="M291" s="24">
        <f>IF($A291="","",IFERROR(ABS(N($D291))/N($C291),0))</f>
        <v/>
      </c>
      <c r="N291" s="24">
        <f>IF($A291="","",IFERROR(N($E291)/N($C291),0))</f>
        <v/>
      </c>
      <c r="O291" s="23">
        <f>IF($A291="",0,IFERROR(SUMPRODUCT(($A$8:$A$307=$A291)*($P$8:$P$307="FAIL")*($U$8:$U$307&gt;$V291)*($U$8:$U$307&lt;=$U291)),0))</f>
        <v/>
      </c>
      <c r="P291" s="23">
        <f>IF($A291="","",IFERROR(IF(NOT(ISNUMBER($K291)),"CHECK",IF($L291="MARGIN",IF($N291&lt;=$K291,"PASS","FAIL"),IF($M291&lt;=$K291,"PASS","FAIL"))),"CHECK"))</f>
        <v/>
      </c>
      <c r="Q291" s="23">
        <f>IF($A291="","",IFERROR(INDEX('Ref_Tolerance'!$E$2:$E$9,MATCH($J291,'Ref_Tolerance'!$A$2:$A$9,0)),""))</f>
        <v/>
      </c>
      <c r="R291" s="23">
        <f>IF($A291="","",IFERROR(IF($O291=0,"CLEAR",IF($O291=1,"MFR DUE - MANAGER",IF($O291=2,"MFR DUE - FSS/CC SIGNATURE REQUIRED","INVESTIGATION + REPORT OF SURVEY; MSG/CC NOTIFIED"))),""))</f>
        <v/>
      </c>
      <c r="S291" s="23">
        <f>IF($A291="","",IF($O291=2,"WATCH - ONE MORE MISS TRIGGERS INVESTIGATION",""))</f>
        <v/>
      </c>
      <c r="T291" s="23">
        <f>IF($A291="","",IFERROR(IF(AND($O291&gt;=1,$F291&lt;&gt;"Y"),"MFR NOT SUBMITTED",IF(AND($O291&gt;=2,$G291&lt;&gt;"Y"),"FSS/CC SIGNATURE MISSING",IF(AND($O291&gt;=3,$H291&lt;&gt;"Y"),"INVESTIGATION NOT OPENED",""))),""))</f>
        <v/>
      </c>
      <c r="U291" s="25">
        <f>IF($A291="",0,IFERROR(MATCH($B291,'Ref_Calendar'!$A$2:$A$500,0),0))</f>
        <v/>
      </c>
      <c r="V291" s="25">
        <f>IF($A291="",0,IFERROR(SUMPRODUCT(MAX(($A$8:$A$307=$A291)*($P$8:$P$307="PASS")*($U$8:$U$307&lt;=$U291)*$U$8:$U$307)),0))</f>
        <v/>
      </c>
      <c r="W291" s="25">
        <f>IF($A291="","",IFERROR(INDEX('Ref_Crosswalk'!$E$2:$E$500,MATCH($A291,'Ref_Crosswalk'!$A$2:$A$500,0)),""))</f>
        <v/>
      </c>
      <c r="X291" s="25">
        <f>IF($A291="","",IFERROR(INDEX('Ref_Crosswalk'!$C$2:$C$500,MATCH($A291,'Ref_Crosswalk'!$A$2:$A$500,0)),""))</f>
        <v/>
      </c>
      <c r="Y291" s="25">
        <f>IF($A291="",0,IF(AND(OR('Out_Dashboard'!$C$5="",$W291='Out_Dashboard'!$C$5),OR('Out_Dashboard'!$C$6="",$X291='Out_Dashboard'!$C$6),OR('Out_Dashboard'!$C$7="",$B291='Out_Dashboard'!$C$7)),1,0))</f>
        <v/>
      </c>
      <c r="Z291" s="25">
        <f>IF(AND($A291&lt;&gt;"",$S291&lt;&gt;"",$Y291=1),SUMPRODUCT(($A$8:$A291&lt;&gt;"")*($S$8:$S291&lt;&gt;"")*($Y$8:$Y291=1)),"")</f>
        <v/>
      </c>
      <c r="AA291" s="25">
        <f>IF(AND($A291&lt;&gt;"",$T291&lt;&gt;"",$Y291=1),SUMPRODUCT(($A$8:$A291&lt;&gt;"")*($T$8:$T291&lt;&gt;"")*($Y$8:$Y291=1)),"")</f>
        <v/>
      </c>
    </row>
    <row r="292">
      <c r="A292" s="13" t="n"/>
      <c r="B292" s="13" t="n"/>
      <c r="C292" s="26" t="n"/>
      <c r="D292" s="26" t="n"/>
      <c r="E292" s="26" t="n"/>
      <c r="F292" s="13" t="n"/>
      <c r="G292" s="13" t="n"/>
      <c r="H292" s="13" t="n"/>
      <c r="I292" s="13" t="n"/>
      <c r="J292" s="23">
        <f>IF($A292="","",IFERROR(INDEX('Ref_Crosswalk'!$F$2:$F$500,MATCH($A292,'Ref_Crosswalk'!$A$2:$A$500,0)),"UNKNOWN"))</f>
        <v/>
      </c>
      <c r="K292" s="24">
        <f>IF($A292="","",IFERROR(INDEX('Ref_Tolerance'!$B$2:$B$9,MATCH($J292,'Ref_Tolerance'!$A$2:$A$9,0)),""))</f>
        <v/>
      </c>
      <c r="L292" s="23">
        <f>IF($A292="","",IFERROR(INDEX('Ref_Tolerance'!$D$2:$D$9,MATCH($J292,'Ref_Tolerance'!$A$2:$A$9,0)),""))</f>
        <v/>
      </c>
      <c r="M292" s="24">
        <f>IF($A292="","",IFERROR(ABS(N($D292))/N($C292),0))</f>
        <v/>
      </c>
      <c r="N292" s="24">
        <f>IF($A292="","",IFERROR(N($E292)/N($C292),0))</f>
        <v/>
      </c>
      <c r="O292" s="23">
        <f>IF($A292="",0,IFERROR(SUMPRODUCT(($A$8:$A$307=$A292)*($P$8:$P$307="FAIL")*($U$8:$U$307&gt;$V292)*($U$8:$U$307&lt;=$U292)),0))</f>
        <v/>
      </c>
      <c r="P292" s="23">
        <f>IF($A292="","",IFERROR(IF(NOT(ISNUMBER($K292)),"CHECK",IF($L292="MARGIN",IF($N292&lt;=$K292,"PASS","FAIL"),IF($M292&lt;=$K292,"PASS","FAIL"))),"CHECK"))</f>
        <v/>
      </c>
      <c r="Q292" s="23">
        <f>IF($A292="","",IFERROR(INDEX('Ref_Tolerance'!$E$2:$E$9,MATCH($J292,'Ref_Tolerance'!$A$2:$A$9,0)),""))</f>
        <v/>
      </c>
      <c r="R292" s="23">
        <f>IF($A292="","",IFERROR(IF($O292=0,"CLEAR",IF($O292=1,"MFR DUE - MANAGER",IF($O292=2,"MFR DUE - FSS/CC SIGNATURE REQUIRED","INVESTIGATION + REPORT OF SURVEY; MSG/CC NOTIFIED"))),""))</f>
        <v/>
      </c>
      <c r="S292" s="23">
        <f>IF($A292="","",IF($O292=2,"WATCH - ONE MORE MISS TRIGGERS INVESTIGATION",""))</f>
        <v/>
      </c>
      <c r="T292" s="23">
        <f>IF($A292="","",IFERROR(IF(AND($O292&gt;=1,$F292&lt;&gt;"Y"),"MFR NOT SUBMITTED",IF(AND($O292&gt;=2,$G292&lt;&gt;"Y"),"FSS/CC SIGNATURE MISSING",IF(AND($O292&gt;=3,$H292&lt;&gt;"Y"),"INVESTIGATION NOT OPENED",""))),""))</f>
        <v/>
      </c>
      <c r="U292" s="25">
        <f>IF($A292="",0,IFERROR(MATCH($B292,'Ref_Calendar'!$A$2:$A$500,0),0))</f>
        <v/>
      </c>
      <c r="V292" s="25">
        <f>IF($A292="",0,IFERROR(SUMPRODUCT(MAX(($A$8:$A$307=$A292)*($P$8:$P$307="PASS")*($U$8:$U$307&lt;=$U292)*$U$8:$U$307)),0))</f>
        <v/>
      </c>
      <c r="W292" s="25">
        <f>IF($A292="","",IFERROR(INDEX('Ref_Crosswalk'!$E$2:$E$500,MATCH($A292,'Ref_Crosswalk'!$A$2:$A$500,0)),""))</f>
        <v/>
      </c>
      <c r="X292" s="25">
        <f>IF($A292="","",IFERROR(INDEX('Ref_Crosswalk'!$C$2:$C$500,MATCH($A292,'Ref_Crosswalk'!$A$2:$A$500,0)),""))</f>
        <v/>
      </c>
      <c r="Y292" s="25">
        <f>IF($A292="",0,IF(AND(OR('Out_Dashboard'!$C$5="",$W292='Out_Dashboard'!$C$5),OR('Out_Dashboard'!$C$6="",$X292='Out_Dashboard'!$C$6),OR('Out_Dashboard'!$C$7="",$B292='Out_Dashboard'!$C$7)),1,0))</f>
        <v/>
      </c>
      <c r="Z292" s="25">
        <f>IF(AND($A292&lt;&gt;"",$S292&lt;&gt;"",$Y292=1),SUMPRODUCT(($A$8:$A292&lt;&gt;"")*($S$8:$S292&lt;&gt;"")*($Y$8:$Y292=1)),"")</f>
        <v/>
      </c>
      <c r="AA292" s="25">
        <f>IF(AND($A292&lt;&gt;"",$T292&lt;&gt;"",$Y292=1),SUMPRODUCT(($A$8:$A292&lt;&gt;"")*($T$8:$T292&lt;&gt;"")*($Y$8:$Y292=1)),"")</f>
        <v/>
      </c>
    </row>
    <row r="293">
      <c r="A293" s="13" t="n"/>
      <c r="B293" s="13" t="n"/>
      <c r="C293" s="26" t="n"/>
      <c r="D293" s="26" t="n"/>
      <c r="E293" s="26" t="n"/>
      <c r="F293" s="13" t="n"/>
      <c r="G293" s="13" t="n"/>
      <c r="H293" s="13" t="n"/>
      <c r="I293" s="13" t="n"/>
      <c r="J293" s="23">
        <f>IF($A293="","",IFERROR(INDEX('Ref_Crosswalk'!$F$2:$F$500,MATCH($A293,'Ref_Crosswalk'!$A$2:$A$500,0)),"UNKNOWN"))</f>
        <v/>
      </c>
      <c r="K293" s="24">
        <f>IF($A293="","",IFERROR(INDEX('Ref_Tolerance'!$B$2:$B$9,MATCH($J293,'Ref_Tolerance'!$A$2:$A$9,0)),""))</f>
        <v/>
      </c>
      <c r="L293" s="23">
        <f>IF($A293="","",IFERROR(INDEX('Ref_Tolerance'!$D$2:$D$9,MATCH($J293,'Ref_Tolerance'!$A$2:$A$9,0)),""))</f>
        <v/>
      </c>
      <c r="M293" s="24">
        <f>IF($A293="","",IFERROR(ABS(N($D293))/N($C293),0))</f>
        <v/>
      </c>
      <c r="N293" s="24">
        <f>IF($A293="","",IFERROR(N($E293)/N($C293),0))</f>
        <v/>
      </c>
      <c r="O293" s="23">
        <f>IF($A293="",0,IFERROR(SUMPRODUCT(($A$8:$A$307=$A293)*($P$8:$P$307="FAIL")*($U$8:$U$307&gt;$V293)*($U$8:$U$307&lt;=$U293)),0))</f>
        <v/>
      </c>
      <c r="P293" s="23">
        <f>IF($A293="","",IFERROR(IF(NOT(ISNUMBER($K293)),"CHECK",IF($L293="MARGIN",IF($N293&lt;=$K293,"PASS","FAIL"),IF($M293&lt;=$K293,"PASS","FAIL"))),"CHECK"))</f>
        <v/>
      </c>
      <c r="Q293" s="23">
        <f>IF($A293="","",IFERROR(INDEX('Ref_Tolerance'!$E$2:$E$9,MATCH($J293,'Ref_Tolerance'!$A$2:$A$9,0)),""))</f>
        <v/>
      </c>
      <c r="R293" s="23">
        <f>IF($A293="","",IFERROR(IF($O293=0,"CLEAR",IF($O293=1,"MFR DUE - MANAGER",IF($O293=2,"MFR DUE - FSS/CC SIGNATURE REQUIRED","INVESTIGATION + REPORT OF SURVEY; MSG/CC NOTIFIED"))),""))</f>
        <v/>
      </c>
      <c r="S293" s="23">
        <f>IF($A293="","",IF($O293=2,"WATCH - ONE MORE MISS TRIGGERS INVESTIGATION",""))</f>
        <v/>
      </c>
      <c r="T293" s="23">
        <f>IF($A293="","",IFERROR(IF(AND($O293&gt;=1,$F293&lt;&gt;"Y"),"MFR NOT SUBMITTED",IF(AND($O293&gt;=2,$G293&lt;&gt;"Y"),"FSS/CC SIGNATURE MISSING",IF(AND($O293&gt;=3,$H293&lt;&gt;"Y"),"INVESTIGATION NOT OPENED",""))),""))</f>
        <v/>
      </c>
      <c r="U293" s="25">
        <f>IF($A293="",0,IFERROR(MATCH($B293,'Ref_Calendar'!$A$2:$A$500,0),0))</f>
        <v/>
      </c>
      <c r="V293" s="25">
        <f>IF($A293="",0,IFERROR(SUMPRODUCT(MAX(($A$8:$A$307=$A293)*($P$8:$P$307="PASS")*($U$8:$U$307&lt;=$U293)*$U$8:$U$307)),0))</f>
        <v/>
      </c>
      <c r="W293" s="25">
        <f>IF($A293="","",IFERROR(INDEX('Ref_Crosswalk'!$E$2:$E$500,MATCH($A293,'Ref_Crosswalk'!$A$2:$A$500,0)),""))</f>
        <v/>
      </c>
      <c r="X293" s="25">
        <f>IF($A293="","",IFERROR(INDEX('Ref_Crosswalk'!$C$2:$C$500,MATCH($A293,'Ref_Crosswalk'!$A$2:$A$500,0)),""))</f>
        <v/>
      </c>
      <c r="Y293" s="25">
        <f>IF($A293="",0,IF(AND(OR('Out_Dashboard'!$C$5="",$W293='Out_Dashboard'!$C$5),OR('Out_Dashboard'!$C$6="",$X293='Out_Dashboard'!$C$6),OR('Out_Dashboard'!$C$7="",$B293='Out_Dashboard'!$C$7)),1,0))</f>
        <v/>
      </c>
      <c r="Z293" s="25">
        <f>IF(AND($A293&lt;&gt;"",$S293&lt;&gt;"",$Y293=1),SUMPRODUCT(($A$8:$A293&lt;&gt;"")*($S$8:$S293&lt;&gt;"")*($Y$8:$Y293=1)),"")</f>
        <v/>
      </c>
      <c r="AA293" s="25">
        <f>IF(AND($A293&lt;&gt;"",$T293&lt;&gt;"",$Y293=1),SUMPRODUCT(($A$8:$A293&lt;&gt;"")*($T$8:$T293&lt;&gt;"")*($Y$8:$Y293=1)),"")</f>
        <v/>
      </c>
    </row>
    <row r="294">
      <c r="A294" s="13" t="n"/>
      <c r="B294" s="13" t="n"/>
      <c r="C294" s="26" t="n"/>
      <c r="D294" s="26" t="n"/>
      <c r="E294" s="26" t="n"/>
      <c r="F294" s="13" t="n"/>
      <c r="G294" s="13" t="n"/>
      <c r="H294" s="13" t="n"/>
      <c r="I294" s="13" t="n"/>
      <c r="J294" s="23">
        <f>IF($A294="","",IFERROR(INDEX('Ref_Crosswalk'!$F$2:$F$500,MATCH($A294,'Ref_Crosswalk'!$A$2:$A$500,0)),"UNKNOWN"))</f>
        <v/>
      </c>
      <c r="K294" s="24">
        <f>IF($A294="","",IFERROR(INDEX('Ref_Tolerance'!$B$2:$B$9,MATCH($J294,'Ref_Tolerance'!$A$2:$A$9,0)),""))</f>
        <v/>
      </c>
      <c r="L294" s="23">
        <f>IF($A294="","",IFERROR(INDEX('Ref_Tolerance'!$D$2:$D$9,MATCH($J294,'Ref_Tolerance'!$A$2:$A$9,0)),""))</f>
        <v/>
      </c>
      <c r="M294" s="24">
        <f>IF($A294="","",IFERROR(ABS(N($D294))/N($C294),0))</f>
        <v/>
      </c>
      <c r="N294" s="24">
        <f>IF($A294="","",IFERROR(N($E294)/N($C294),0))</f>
        <v/>
      </c>
      <c r="O294" s="23">
        <f>IF($A294="",0,IFERROR(SUMPRODUCT(($A$8:$A$307=$A294)*($P$8:$P$307="FAIL")*($U$8:$U$307&gt;$V294)*($U$8:$U$307&lt;=$U294)),0))</f>
        <v/>
      </c>
      <c r="P294" s="23">
        <f>IF($A294="","",IFERROR(IF(NOT(ISNUMBER($K294)),"CHECK",IF($L294="MARGIN",IF($N294&lt;=$K294,"PASS","FAIL"),IF($M294&lt;=$K294,"PASS","FAIL"))),"CHECK"))</f>
        <v/>
      </c>
      <c r="Q294" s="23">
        <f>IF($A294="","",IFERROR(INDEX('Ref_Tolerance'!$E$2:$E$9,MATCH($J294,'Ref_Tolerance'!$A$2:$A$9,0)),""))</f>
        <v/>
      </c>
      <c r="R294" s="23">
        <f>IF($A294="","",IFERROR(IF($O294=0,"CLEAR",IF($O294=1,"MFR DUE - MANAGER",IF($O294=2,"MFR DUE - FSS/CC SIGNATURE REQUIRED","INVESTIGATION + REPORT OF SURVEY; MSG/CC NOTIFIED"))),""))</f>
        <v/>
      </c>
      <c r="S294" s="23">
        <f>IF($A294="","",IF($O294=2,"WATCH - ONE MORE MISS TRIGGERS INVESTIGATION",""))</f>
        <v/>
      </c>
      <c r="T294" s="23">
        <f>IF($A294="","",IFERROR(IF(AND($O294&gt;=1,$F294&lt;&gt;"Y"),"MFR NOT SUBMITTED",IF(AND($O294&gt;=2,$G294&lt;&gt;"Y"),"FSS/CC SIGNATURE MISSING",IF(AND($O294&gt;=3,$H294&lt;&gt;"Y"),"INVESTIGATION NOT OPENED",""))),""))</f>
        <v/>
      </c>
      <c r="U294" s="25">
        <f>IF($A294="",0,IFERROR(MATCH($B294,'Ref_Calendar'!$A$2:$A$500,0),0))</f>
        <v/>
      </c>
      <c r="V294" s="25">
        <f>IF($A294="",0,IFERROR(SUMPRODUCT(MAX(($A$8:$A$307=$A294)*($P$8:$P$307="PASS")*($U$8:$U$307&lt;=$U294)*$U$8:$U$307)),0))</f>
        <v/>
      </c>
      <c r="W294" s="25">
        <f>IF($A294="","",IFERROR(INDEX('Ref_Crosswalk'!$E$2:$E$500,MATCH($A294,'Ref_Crosswalk'!$A$2:$A$500,0)),""))</f>
        <v/>
      </c>
      <c r="X294" s="25">
        <f>IF($A294="","",IFERROR(INDEX('Ref_Crosswalk'!$C$2:$C$500,MATCH($A294,'Ref_Crosswalk'!$A$2:$A$500,0)),""))</f>
        <v/>
      </c>
      <c r="Y294" s="25">
        <f>IF($A294="",0,IF(AND(OR('Out_Dashboard'!$C$5="",$W294='Out_Dashboard'!$C$5),OR('Out_Dashboard'!$C$6="",$X294='Out_Dashboard'!$C$6),OR('Out_Dashboard'!$C$7="",$B294='Out_Dashboard'!$C$7)),1,0))</f>
        <v/>
      </c>
      <c r="Z294" s="25">
        <f>IF(AND($A294&lt;&gt;"",$S294&lt;&gt;"",$Y294=1),SUMPRODUCT(($A$8:$A294&lt;&gt;"")*($S$8:$S294&lt;&gt;"")*($Y$8:$Y294=1)),"")</f>
        <v/>
      </c>
      <c r="AA294" s="25">
        <f>IF(AND($A294&lt;&gt;"",$T294&lt;&gt;"",$Y294=1),SUMPRODUCT(($A$8:$A294&lt;&gt;"")*($T$8:$T294&lt;&gt;"")*($Y$8:$Y294=1)),"")</f>
        <v/>
      </c>
    </row>
    <row r="295">
      <c r="A295" s="13" t="n"/>
      <c r="B295" s="13" t="n"/>
      <c r="C295" s="26" t="n"/>
      <c r="D295" s="26" t="n"/>
      <c r="E295" s="26" t="n"/>
      <c r="F295" s="13" t="n"/>
      <c r="G295" s="13" t="n"/>
      <c r="H295" s="13" t="n"/>
      <c r="I295" s="13" t="n"/>
      <c r="J295" s="23">
        <f>IF($A295="","",IFERROR(INDEX('Ref_Crosswalk'!$F$2:$F$500,MATCH($A295,'Ref_Crosswalk'!$A$2:$A$500,0)),"UNKNOWN"))</f>
        <v/>
      </c>
      <c r="K295" s="24">
        <f>IF($A295="","",IFERROR(INDEX('Ref_Tolerance'!$B$2:$B$9,MATCH($J295,'Ref_Tolerance'!$A$2:$A$9,0)),""))</f>
        <v/>
      </c>
      <c r="L295" s="23">
        <f>IF($A295="","",IFERROR(INDEX('Ref_Tolerance'!$D$2:$D$9,MATCH($J295,'Ref_Tolerance'!$A$2:$A$9,0)),""))</f>
        <v/>
      </c>
      <c r="M295" s="24">
        <f>IF($A295="","",IFERROR(ABS(N($D295))/N($C295),0))</f>
        <v/>
      </c>
      <c r="N295" s="24">
        <f>IF($A295="","",IFERROR(N($E295)/N($C295),0))</f>
        <v/>
      </c>
      <c r="O295" s="23">
        <f>IF($A295="",0,IFERROR(SUMPRODUCT(($A$8:$A$307=$A295)*($P$8:$P$307="FAIL")*($U$8:$U$307&gt;$V295)*($U$8:$U$307&lt;=$U295)),0))</f>
        <v/>
      </c>
      <c r="P295" s="23">
        <f>IF($A295="","",IFERROR(IF(NOT(ISNUMBER($K295)),"CHECK",IF($L295="MARGIN",IF($N295&lt;=$K295,"PASS","FAIL"),IF($M295&lt;=$K295,"PASS","FAIL"))),"CHECK"))</f>
        <v/>
      </c>
      <c r="Q295" s="23">
        <f>IF($A295="","",IFERROR(INDEX('Ref_Tolerance'!$E$2:$E$9,MATCH($J295,'Ref_Tolerance'!$A$2:$A$9,0)),""))</f>
        <v/>
      </c>
      <c r="R295" s="23">
        <f>IF($A295="","",IFERROR(IF($O295=0,"CLEAR",IF($O295=1,"MFR DUE - MANAGER",IF($O295=2,"MFR DUE - FSS/CC SIGNATURE REQUIRED","INVESTIGATION + REPORT OF SURVEY; MSG/CC NOTIFIED"))),""))</f>
        <v/>
      </c>
      <c r="S295" s="23">
        <f>IF($A295="","",IF($O295=2,"WATCH - ONE MORE MISS TRIGGERS INVESTIGATION",""))</f>
        <v/>
      </c>
      <c r="T295" s="23">
        <f>IF($A295="","",IFERROR(IF(AND($O295&gt;=1,$F295&lt;&gt;"Y"),"MFR NOT SUBMITTED",IF(AND($O295&gt;=2,$G295&lt;&gt;"Y"),"FSS/CC SIGNATURE MISSING",IF(AND($O295&gt;=3,$H295&lt;&gt;"Y"),"INVESTIGATION NOT OPENED",""))),""))</f>
        <v/>
      </c>
      <c r="U295" s="25">
        <f>IF($A295="",0,IFERROR(MATCH($B295,'Ref_Calendar'!$A$2:$A$500,0),0))</f>
        <v/>
      </c>
      <c r="V295" s="25">
        <f>IF($A295="",0,IFERROR(SUMPRODUCT(MAX(($A$8:$A$307=$A295)*($P$8:$P$307="PASS")*($U$8:$U$307&lt;=$U295)*$U$8:$U$307)),0))</f>
        <v/>
      </c>
      <c r="W295" s="25">
        <f>IF($A295="","",IFERROR(INDEX('Ref_Crosswalk'!$E$2:$E$500,MATCH($A295,'Ref_Crosswalk'!$A$2:$A$500,0)),""))</f>
        <v/>
      </c>
      <c r="X295" s="25">
        <f>IF($A295="","",IFERROR(INDEX('Ref_Crosswalk'!$C$2:$C$500,MATCH($A295,'Ref_Crosswalk'!$A$2:$A$500,0)),""))</f>
        <v/>
      </c>
      <c r="Y295" s="25">
        <f>IF($A295="",0,IF(AND(OR('Out_Dashboard'!$C$5="",$W295='Out_Dashboard'!$C$5),OR('Out_Dashboard'!$C$6="",$X295='Out_Dashboard'!$C$6),OR('Out_Dashboard'!$C$7="",$B295='Out_Dashboard'!$C$7)),1,0))</f>
        <v/>
      </c>
      <c r="Z295" s="25">
        <f>IF(AND($A295&lt;&gt;"",$S295&lt;&gt;"",$Y295=1),SUMPRODUCT(($A$8:$A295&lt;&gt;"")*($S$8:$S295&lt;&gt;"")*($Y$8:$Y295=1)),"")</f>
        <v/>
      </c>
      <c r="AA295" s="25">
        <f>IF(AND($A295&lt;&gt;"",$T295&lt;&gt;"",$Y295=1),SUMPRODUCT(($A$8:$A295&lt;&gt;"")*($T$8:$T295&lt;&gt;"")*($Y$8:$Y295=1)),"")</f>
        <v/>
      </c>
    </row>
    <row r="296">
      <c r="A296" s="13" t="n"/>
      <c r="B296" s="13" t="n"/>
      <c r="C296" s="26" t="n"/>
      <c r="D296" s="26" t="n"/>
      <c r="E296" s="26" t="n"/>
      <c r="F296" s="13" t="n"/>
      <c r="G296" s="13" t="n"/>
      <c r="H296" s="13" t="n"/>
      <c r="I296" s="13" t="n"/>
      <c r="J296" s="23">
        <f>IF($A296="","",IFERROR(INDEX('Ref_Crosswalk'!$F$2:$F$500,MATCH($A296,'Ref_Crosswalk'!$A$2:$A$500,0)),"UNKNOWN"))</f>
        <v/>
      </c>
      <c r="K296" s="24">
        <f>IF($A296="","",IFERROR(INDEX('Ref_Tolerance'!$B$2:$B$9,MATCH($J296,'Ref_Tolerance'!$A$2:$A$9,0)),""))</f>
        <v/>
      </c>
      <c r="L296" s="23">
        <f>IF($A296="","",IFERROR(INDEX('Ref_Tolerance'!$D$2:$D$9,MATCH($J296,'Ref_Tolerance'!$A$2:$A$9,0)),""))</f>
        <v/>
      </c>
      <c r="M296" s="24">
        <f>IF($A296="","",IFERROR(ABS(N($D296))/N($C296),0))</f>
        <v/>
      </c>
      <c r="N296" s="24">
        <f>IF($A296="","",IFERROR(N($E296)/N($C296),0))</f>
        <v/>
      </c>
      <c r="O296" s="23">
        <f>IF($A296="",0,IFERROR(SUMPRODUCT(($A$8:$A$307=$A296)*($P$8:$P$307="FAIL")*($U$8:$U$307&gt;$V296)*($U$8:$U$307&lt;=$U296)),0))</f>
        <v/>
      </c>
      <c r="P296" s="23">
        <f>IF($A296="","",IFERROR(IF(NOT(ISNUMBER($K296)),"CHECK",IF($L296="MARGIN",IF($N296&lt;=$K296,"PASS","FAIL"),IF($M296&lt;=$K296,"PASS","FAIL"))),"CHECK"))</f>
        <v/>
      </c>
      <c r="Q296" s="23">
        <f>IF($A296="","",IFERROR(INDEX('Ref_Tolerance'!$E$2:$E$9,MATCH($J296,'Ref_Tolerance'!$A$2:$A$9,0)),""))</f>
        <v/>
      </c>
      <c r="R296" s="23">
        <f>IF($A296="","",IFERROR(IF($O296=0,"CLEAR",IF($O296=1,"MFR DUE - MANAGER",IF($O296=2,"MFR DUE - FSS/CC SIGNATURE REQUIRED","INVESTIGATION + REPORT OF SURVEY; MSG/CC NOTIFIED"))),""))</f>
        <v/>
      </c>
      <c r="S296" s="23">
        <f>IF($A296="","",IF($O296=2,"WATCH - ONE MORE MISS TRIGGERS INVESTIGATION",""))</f>
        <v/>
      </c>
      <c r="T296" s="23">
        <f>IF($A296="","",IFERROR(IF(AND($O296&gt;=1,$F296&lt;&gt;"Y"),"MFR NOT SUBMITTED",IF(AND($O296&gt;=2,$G296&lt;&gt;"Y"),"FSS/CC SIGNATURE MISSING",IF(AND($O296&gt;=3,$H296&lt;&gt;"Y"),"INVESTIGATION NOT OPENED",""))),""))</f>
        <v/>
      </c>
      <c r="U296" s="25">
        <f>IF($A296="",0,IFERROR(MATCH($B296,'Ref_Calendar'!$A$2:$A$500,0),0))</f>
        <v/>
      </c>
      <c r="V296" s="25">
        <f>IF($A296="",0,IFERROR(SUMPRODUCT(MAX(($A$8:$A$307=$A296)*($P$8:$P$307="PASS")*($U$8:$U$307&lt;=$U296)*$U$8:$U$307)),0))</f>
        <v/>
      </c>
      <c r="W296" s="25">
        <f>IF($A296="","",IFERROR(INDEX('Ref_Crosswalk'!$E$2:$E$500,MATCH($A296,'Ref_Crosswalk'!$A$2:$A$500,0)),""))</f>
        <v/>
      </c>
      <c r="X296" s="25">
        <f>IF($A296="","",IFERROR(INDEX('Ref_Crosswalk'!$C$2:$C$500,MATCH($A296,'Ref_Crosswalk'!$A$2:$A$500,0)),""))</f>
        <v/>
      </c>
      <c r="Y296" s="25">
        <f>IF($A296="",0,IF(AND(OR('Out_Dashboard'!$C$5="",$W296='Out_Dashboard'!$C$5),OR('Out_Dashboard'!$C$6="",$X296='Out_Dashboard'!$C$6),OR('Out_Dashboard'!$C$7="",$B296='Out_Dashboard'!$C$7)),1,0))</f>
        <v/>
      </c>
      <c r="Z296" s="25">
        <f>IF(AND($A296&lt;&gt;"",$S296&lt;&gt;"",$Y296=1),SUMPRODUCT(($A$8:$A296&lt;&gt;"")*($S$8:$S296&lt;&gt;"")*($Y$8:$Y296=1)),"")</f>
        <v/>
      </c>
      <c r="AA296" s="25">
        <f>IF(AND($A296&lt;&gt;"",$T296&lt;&gt;"",$Y296=1),SUMPRODUCT(($A$8:$A296&lt;&gt;"")*($T$8:$T296&lt;&gt;"")*($Y$8:$Y296=1)),"")</f>
        <v/>
      </c>
    </row>
    <row r="297">
      <c r="A297" s="13" t="n"/>
      <c r="B297" s="13" t="n"/>
      <c r="C297" s="26" t="n"/>
      <c r="D297" s="26" t="n"/>
      <c r="E297" s="26" t="n"/>
      <c r="F297" s="13" t="n"/>
      <c r="G297" s="13" t="n"/>
      <c r="H297" s="13" t="n"/>
      <c r="I297" s="13" t="n"/>
      <c r="J297" s="23">
        <f>IF($A297="","",IFERROR(INDEX('Ref_Crosswalk'!$F$2:$F$500,MATCH($A297,'Ref_Crosswalk'!$A$2:$A$500,0)),"UNKNOWN"))</f>
        <v/>
      </c>
      <c r="K297" s="24">
        <f>IF($A297="","",IFERROR(INDEX('Ref_Tolerance'!$B$2:$B$9,MATCH($J297,'Ref_Tolerance'!$A$2:$A$9,0)),""))</f>
        <v/>
      </c>
      <c r="L297" s="23">
        <f>IF($A297="","",IFERROR(INDEX('Ref_Tolerance'!$D$2:$D$9,MATCH($J297,'Ref_Tolerance'!$A$2:$A$9,0)),""))</f>
        <v/>
      </c>
      <c r="M297" s="24">
        <f>IF($A297="","",IFERROR(ABS(N($D297))/N($C297),0))</f>
        <v/>
      </c>
      <c r="N297" s="24">
        <f>IF($A297="","",IFERROR(N($E297)/N($C297),0))</f>
        <v/>
      </c>
      <c r="O297" s="23">
        <f>IF($A297="",0,IFERROR(SUMPRODUCT(($A$8:$A$307=$A297)*($P$8:$P$307="FAIL")*($U$8:$U$307&gt;$V297)*($U$8:$U$307&lt;=$U297)),0))</f>
        <v/>
      </c>
      <c r="P297" s="23">
        <f>IF($A297="","",IFERROR(IF(NOT(ISNUMBER($K297)),"CHECK",IF($L297="MARGIN",IF($N297&lt;=$K297,"PASS","FAIL"),IF($M297&lt;=$K297,"PASS","FAIL"))),"CHECK"))</f>
        <v/>
      </c>
      <c r="Q297" s="23">
        <f>IF($A297="","",IFERROR(INDEX('Ref_Tolerance'!$E$2:$E$9,MATCH($J297,'Ref_Tolerance'!$A$2:$A$9,0)),""))</f>
        <v/>
      </c>
      <c r="R297" s="23">
        <f>IF($A297="","",IFERROR(IF($O297=0,"CLEAR",IF($O297=1,"MFR DUE - MANAGER",IF($O297=2,"MFR DUE - FSS/CC SIGNATURE REQUIRED","INVESTIGATION + REPORT OF SURVEY; MSG/CC NOTIFIED"))),""))</f>
        <v/>
      </c>
      <c r="S297" s="23">
        <f>IF($A297="","",IF($O297=2,"WATCH - ONE MORE MISS TRIGGERS INVESTIGATION",""))</f>
        <v/>
      </c>
      <c r="T297" s="23">
        <f>IF($A297="","",IFERROR(IF(AND($O297&gt;=1,$F297&lt;&gt;"Y"),"MFR NOT SUBMITTED",IF(AND($O297&gt;=2,$G297&lt;&gt;"Y"),"FSS/CC SIGNATURE MISSING",IF(AND($O297&gt;=3,$H297&lt;&gt;"Y"),"INVESTIGATION NOT OPENED",""))),""))</f>
        <v/>
      </c>
      <c r="U297" s="25">
        <f>IF($A297="",0,IFERROR(MATCH($B297,'Ref_Calendar'!$A$2:$A$500,0),0))</f>
        <v/>
      </c>
      <c r="V297" s="25">
        <f>IF($A297="",0,IFERROR(SUMPRODUCT(MAX(($A$8:$A$307=$A297)*($P$8:$P$307="PASS")*($U$8:$U$307&lt;=$U297)*$U$8:$U$307)),0))</f>
        <v/>
      </c>
      <c r="W297" s="25">
        <f>IF($A297="","",IFERROR(INDEX('Ref_Crosswalk'!$E$2:$E$500,MATCH($A297,'Ref_Crosswalk'!$A$2:$A$500,0)),""))</f>
        <v/>
      </c>
      <c r="X297" s="25">
        <f>IF($A297="","",IFERROR(INDEX('Ref_Crosswalk'!$C$2:$C$500,MATCH($A297,'Ref_Crosswalk'!$A$2:$A$500,0)),""))</f>
        <v/>
      </c>
      <c r="Y297" s="25">
        <f>IF($A297="",0,IF(AND(OR('Out_Dashboard'!$C$5="",$W297='Out_Dashboard'!$C$5),OR('Out_Dashboard'!$C$6="",$X297='Out_Dashboard'!$C$6),OR('Out_Dashboard'!$C$7="",$B297='Out_Dashboard'!$C$7)),1,0))</f>
        <v/>
      </c>
      <c r="Z297" s="25">
        <f>IF(AND($A297&lt;&gt;"",$S297&lt;&gt;"",$Y297=1),SUMPRODUCT(($A$8:$A297&lt;&gt;"")*($S$8:$S297&lt;&gt;"")*($Y$8:$Y297=1)),"")</f>
        <v/>
      </c>
      <c r="AA297" s="25">
        <f>IF(AND($A297&lt;&gt;"",$T297&lt;&gt;"",$Y297=1),SUMPRODUCT(($A$8:$A297&lt;&gt;"")*($T$8:$T297&lt;&gt;"")*($Y$8:$Y297=1)),"")</f>
        <v/>
      </c>
    </row>
    <row r="298">
      <c r="A298" s="13" t="n"/>
      <c r="B298" s="13" t="n"/>
      <c r="C298" s="26" t="n"/>
      <c r="D298" s="26" t="n"/>
      <c r="E298" s="26" t="n"/>
      <c r="F298" s="13" t="n"/>
      <c r="G298" s="13" t="n"/>
      <c r="H298" s="13" t="n"/>
      <c r="I298" s="13" t="n"/>
      <c r="J298" s="23">
        <f>IF($A298="","",IFERROR(INDEX('Ref_Crosswalk'!$F$2:$F$500,MATCH($A298,'Ref_Crosswalk'!$A$2:$A$500,0)),"UNKNOWN"))</f>
        <v/>
      </c>
      <c r="K298" s="24">
        <f>IF($A298="","",IFERROR(INDEX('Ref_Tolerance'!$B$2:$B$9,MATCH($J298,'Ref_Tolerance'!$A$2:$A$9,0)),""))</f>
        <v/>
      </c>
      <c r="L298" s="23">
        <f>IF($A298="","",IFERROR(INDEX('Ref_Tolerance'!$D$2:$D$9,MATCH($J298,'Ref_Tolerance'!$A$2:$A$9,0)),""))</f>
        <v/>
      </c>
      <c r="M298" s="24">
        <f>IF($A298="","",IFERROR(ABS(N($D298))/N($C298),0))</f>
        <v/>
      </c>
      <c r="N298" s="24">
        <f>IF($A298="","",IFERROR(N($E298)/N($C298),0))</f>
        <v/>
      </c>
      <c r="O298" s="23">
        <f>IF($A298="",0,IFERROR(SUMPRODUCT(($A$8:$A$307=$A298)*($P$8:$P$307="FAIL")*($U$8:$U$307&gt;$V298)*($U$8:$U$307&lt;=$U298)),0))</f>
        <v/>
      </c>
      <c r="P298" s="23">
        <f>IF($A298="","",IFERROR(IF(NOT(ISNUMBER($K298)),"CHECK",IF($L298="MARGIN",IF($N298&lt;=$K298,"PASS","FAIL"),IF($M298&lt;=$K298,"PASS","FAIL"))),"CHECK"))</f>
        <v/>
      </c>
      <c r="Q298" s="23">
        <f>IF($A298="","",IFERROR(INDEX('Ref_Tolerance'!$E$2:$E$9,MATCH($J298,'Ref_Tolerance'!$A$2:$A$9,0)),""))</f>
        <v/>
      </c>
      <c r="R298" s="23">
        <f>IF($A298="","",IFERROR(IF($O298=0,"CLEAR",IF($O298=1,"MFR DUE - MANAGER",IF($O298=2,"MFR DUE - FSS/CC SIGNATURE REQUIRED","INVESTIGATION + REPORT OF SURVEY; MSG/CC NOTIFIED"))),""))</f>
        <v/>
      </c>
      <c r="S298" s="23">
        <f>IF($A298="","",IF($O298=2,"WATCH - ONE MORE MISS TRIGGERS INVESTIGATION",""))</f>
        <v/>
      </c>
      <c r="T298" s="23">
        <f>IF($A298="","",IFERROR(IF(AND($O298&gt;=1,$F298&lt;&gt;"Y"),"MFR NOT SUBMITTED",IF(AND($O298&gt;=2,$G298&lt;&gt;"Y"),"FSS/CC SIGNATURE MISSING",IF(AND($O298&gt;=3,$H298&lt;&gt;"Y"),"INVESTIGATION NOT OPENED",""))),""))</f>
        <v/>
      </c>
      <c r="U298" s="25">
        <f>IF($A298="",0,IFERROR(MATCH($B298,'Ref_Calendar'!$A$2:$A$500,0),0))</f>
        <v/>
      </c>
      <c r="V298" s="25">
        <f>IF($A298="",0,IFERROR(SUMPRODUCT(MAX(($A$8:$A$307=$A298)*($P$8:$P$307="PASS")*($U$8:$U$307&lt;=$U298)*$U$8:$U$307)),0))</f>
        <v/>
      </c>
      <c r="W298" s="25">
        <f>IF($A298="","",IFERROR(INDEX('Ref_Crosswalk'!$E$2:$E$500,MATCH($A298,'Ref_Crosswalk'!$A$2:$A$500,0)),""))</f>
        <v/>
      </c>
      <c r="X298" s="25">
        <f>IF($A298="","",IFERROR(INDEX('Ref_Crosswalk'!$C$2:$C$500,MATCH($A298,'Ref_Crosswalk'!$A$2:$A$500,0)),""))</f>
        <v/>
      </c>
      <c r="Y298" s="25">
        <f>IF($A298="",0,IF(AND(OR('Out_Dashboard'!$C$5="",$W298='Out_Dashboard'!$C$5),OR('Out_Dashboard'!$C$6="",$X298='Out_Dashboard'!$C$6),OR('Out_Dashboard'!$C$7="",$B298='Out_Dashboard'!$C$7)),1,0))</f>
        <v/>
      </c>
      <c r="Z298" s="25">
        <f>IF(AND($A298&lt;&gt;"",$S298&lt;&gt;"",$Y298=1),SUMPRODUCT(($A$8:$A298&lt;&gt;"")*($S$8:$S298&lt;&gt;"")*($Y$8:$Y298=1)),"")</f>
        <v/>
      </c>
      <c r="AA298" s="25">
        <f>IF(AND($A298&lt;&gt;"",$T298&lt;&gt;"",$Y298=1),SUMPRODUCT(($A$8:$A298&lt;&gt;"")*($T$8:$T298&lt;&gt;"")*($Y$8:$Y298=1)),"")</f>
        <v/>
      </c>
    </row>
    <row r="299">
      <c r="A299" s="13" t="n"/>
      <c r="B299" s="13" t="n"/>
      <c r="C299" s="26" t="n"/>
      <c r="D299" s="26" t="n"/>
      <c r="E299" s="26" t="n"/>
      <c r="F299" s="13" t="n"/>
      <c r="G299" s="13" t="n"/>
      <c r="H299" s="13" t="n"/>
      <c r="I299" s="13" t="n"/>
      <c r="J299" s="23">
        <f>IF($A299="","",IFERROR(INDEX('Ref_Crosswalk'!$F$2:$F$500,MATCH($A299,'Ref_Crosswalk'!$A$2:$A$500,0)),"UNKNOWN"))</f>
        <v/>
      </c>
      <c r="K299" s="24">
        <f>IF($A299="","",IFERROR(INDEX('Ref_Tolerance'!$B$2:$B$9,MATCH($J299,'Ref_Tolerance'!$A$2:$A$9,0)),""))</f>
        <v/>
      </c>
      <c r="L299" s="23">
        <f>IF($A299="","",IFERROR(INDEX('Ref_Tolerance'!$D$2:$D$9,MATCH($J299,'Ref_Tolerance'!$A$2:$A$9,0)),""))</f>
        <v/>
      </c>
      <c r="M299" s="24">
        <f>IF($A299="","",IFERROR(ABS(N($D299))/N($C299),0))</f>
        <v/>
      </c>
      <c r="N299" s="24">
        <f>IF($A299="","",IFERROR(N($E299)/N($C299),0))</f>
        <v/>
      </c>
      <c r="O299" s="23">
        <f>IF($A299="",0,IFERROR(SUMPRODUCT(($A$8:$A$307=$A299)*($P$8:$P$307="FAIL")*($U$8:$U$307&gt;$V299)*($U$8:$U$307&lt;=$U299)),0))</f>
        <v/>
      </c>
      <c r="P299" s="23">
        <f>IF($A299="","",IFERROR(IF(NOT(ISNUMBER($K299)),"CHECK",IF($L299="MARGIN",IF($N299&lt;=$K299,"PASS","FAIL"),IF($M299&lt;=$K299,"PASS","FAIL"))),"CHECK"))</f>
        <v/>
      </c>
      <c r="Q299" s="23">
        <f>IF($A299="","",IFERROR(INDEX('Ref_Tolerance'!$E$2:$E$9,MATCH($J299,'Ref_Tolerance'!$A$2:$A$9,0)),""))</f>
        <v/>
      </c>
      <c r="R299" s="23">
        <f>IF($A299="","",IFERROR(IF($O299=0,"CLEAR",IF($O299=1,"MFR DUE - MANAGER",IF($O299=2,"MFR DUE - FSS/CC SIGNATURE REQUIRED","INVESTIGATION + REPORT OF SURVEY; MSG/CC NOTIFIED"))),""))</f>
        <v/>
      </c>
      <c r="S299" s="23">
        <f>IF($A299="","",IF($O299=2,"WATCH - ONE MORE MISS TRIGGERS INVESTIGATION",""))</f>
        <v/>
      </c>
      <c r="T299" s="23">
        <f>IF($A299="","",IFERROR(IF(AND($O299&gt;=1,$F299&lt;&gt;"Y"),"MFR NOT SUBMITTED",IF(AND($O299&gt;=2,$G299&lt;&gt;"Y"),"FSS/CC SIGNATURE MISSING",IF(AND($O299&gt;=3,$H299&lt;&gt;"Y"),"INVESTIGATION NOT OPENED",""))),""))</f>
        <v/>
      </c>
      <c r="U299" s="25">
        <f>IF($A299="",0,IFERROR(MATCH($B299,'Ref_Calendar'!$A$2:$A$500,0),0))</f>
        <v/>
      </c>
      <c r="V299" s="25">
        <f>IF($A299="",0,IFERROR(SUMPRODUCT(MAX(($A$8:$A$307=$A299)*($P$8:$P$307="PASS")*($U$8:$U$307&lt;=$U299)*$U$8:$U$307)),0))</f>
        <v/>
      </c>
      <c r="W299" s="25">
        <f>IF($A299="","",IFERROR(INDEX('Ref_Crosswalk'!$E$2:$E$500,MATCH($A299,'Ref_Crosswalk'!$A$2:$A$500,0)),""))</f>
        <v/>
      </c>
      <c r="X299" s="25">
        <f>IF($A299="","",IFERROR(INDEX('Ref_Crosswalk'!$C$2:$C$500,MATCH($A299,'Ref_Crosswalk'!$A$2:$A$500,0)),""))</f>
        <v/>
      </c>
      <c r="Y299" s="25">
        <f>IF($A299="",0,IF(AND(OR('Out_Dashboard'!$C$5="",$W299='Out_Dashboard'!$C$5),OR('Out_Dashboard'!$C$6="",$X299='Out_Dashboard'!$C$6),OR('Out_Dashboard'!$C$7="",$B299='Out_Dashboard'!$C$7)),1,0))</f>
        <v/>
      </c>
      <c r="Z299" s="25">
        <f>IF(AND($A299&lt;&gt;"",$S299&lt;&gt;"",$Y299=1),SUMPRODUCT(($A$8:$A299&lt;&gt;"")*($S$8:$S299&lt;&gt;"")*($Y$8:$Y299=1)),"")</f>
        <v/>
      </c>
      <c r="AA299" s="25">
        <f>IF(AND($A299&lt;&gt;"",$T299&lt;&gt;"",$Y299=1),SUMPRODUCT(($A$8:$A299&lt;&gt;"")*($T$8:$T299&lt;&gt;"")*($Y$8:$Y299=1)),"")</f>
        <v/>
      </c>
    </row>
    <row r="300">
      <c r="A300" s="13" t="n"/>
      <c r="B300" s="13" t="n"/>
      <c r="C300" s="26" t="n"/>
      <c r="D300" s="26" t="n"/>
      <c r="E300" s="26" t="n"/>
      <c r="F300" s="13" t="n"/>
      <c r="G300" s="13" t="n"/>
      <c r="H300" s="13" t="n"/>
      <c r="I300" s="13" t="n"/>
      <c r="J300" s="23">
        <f>IF($A300="","",IFERROR(INDEX('Ref_Crosswalk'!$F$2:$F$500,MATCH($A300,'Ref_Crosswalk'!$A$2:$A$500,0)),"UNKNOWN"))</f>
        <v/>
      </c>
      <c r="K300" s="24">
        <f>IF($A300="","",IFERROR(INDEX('Ref_Tolerance'!$B$2:$B$9,MATCH($J300,'Ref_Tolerance'!$A$2:$A$9,0)),""))</f>
        <v/>
      </c>
      <c r="L300" s="23">
        <f>IF($A300="","",IFERROR(INDEX('Ref_Tolerance'!$D$2:$D$9,MATCH($J300,'Ref_Tolerance'!$A$2:$A$9,0)),""))</f>
        <v/>
      </c>
      <c r="M300" s="24">
        <f>IF($A300="","",IFERROR(ABS(N($D300))/N($C300),0))</f>
        <v/>
      </c>
      <c r="N300" s="24">
        <f>IF($A300="","",IFERROR(N($E300)/N($C300),0))</f>
        <v/>
      </c>
      <c r="O300" s="23">
        <f>IF($A300="",0,IFERROR(SUMPRODUCT(($A$8:$A$307=$A300)*($P$8:$P$307="FAIL")*($U$8:$U$307&gt;$V300)*($U$8:$U$307&lt;=$U300)),0))</f>
        <v/>
      </c>
      <c r="P300" s="23">
        <f>IF($A300="","",IFERROR(IF(NOT(ISNUMBER($K300)),"CHECK",IF($L300="MARGIN",IF($N300&lt;=$K300,"PASS","FAIL"),IF($M300&lt;=$K300,"PASS","FAIL"))),"CHECK"))</f>
        <v/>
      </c>
      <c r="Q300" s="23">
        <f>IF($A300="","",IFERROR(INDEX('Ref_Tolerance'!$E$2:$E$9,MATCH($J300,'Ref_Tolerance'!$A$2:$A$9,0)),""))</f>
        <v/>
      </c>
      <c r="R300" s="23">
        <f>IF($A300="","",IFERROR(IF($O300=0,"CLEAR",IF($O300=1,"MFR DUE - MANAGER",IF($O300=2,"MFR DUE - FSS/CC SIGNATURE REQUIRED","INVESTIGATION + REPORT OF SURVEY; MSG/CC NOTIFIED"))),""))</f>
        <v/>
      </c>
      <c r="S300" s="23">
        <f>IF($A300="","",IF($O300=2,"WATCH - ONE MORE MISS TRIGGERS INVESTIGATION",""))</f>
        <v/>
      </c>
      <c r="T300" s="23">
        <f>IF($A300="","",IFERROR(IF(AND($O300&gt;=1,$F300&lt;&gt;"Y"),"MFR NOT SUBMITTED",IF(AND($O300&gt;=2,$G300&lt;&gt;"Y"),"FSS/CC SIGNATURE MISSING",IF(AND($O300&gt;=3,$H300&lt;&gt;"Y"),"INVESTIGATION NOT OPENED",""))),""))</f>
        <v/>
      </c>
      <c r="U300" s="25">
        <f>IF($A300="",0,IFERROR(MATCH($B300,'Ref_Calendar'!$A$2:$A$500,0),0))</f>
        <v/>
      </c>
      <c r="V300" s="25">
        <f>IF($A300="",0,IFERROR(SUMPRODUCT(MAX(($A$8:$A$307=$A300)*($P$8:$P$307="PASS")*($U$8:$U$307&lt;=$U300)*$U$8:$U$307)),0))</f>
        <v/>
      </c>
      <c r="W300" s="25">
        <f>IF($A300="","",IFERROR(INDEX('Ref_Crosswalk'!$E$2:$E$500,MATCH($A300,'Ref_Crosswalk'!$A$2:$A$500,0)),""))</f>
        <v/>
      </c>
      <c r="X300" s="25">
        <f>IF($A300="","",IFERROR(INDEX('Ref_Crosswalk'!$C$2:$C$500,MATCH($A300,'Ref_Crosswalk'!$A$2:$A$500,0)),""))</f>
        <v/>
      </c>
      <c r="Y300" s="25">
        <f>IF($A300="",0,IF(AND(OR('Out_Dashboard'!$C$5="",$W300='Out_Dashboard'!$C$5),OR('Out_Dashboard'!$C$6="",$X300='Out_Dashboard'!$C$6),OR('Out_Dashboard'!$C$7="",$B300='Out_Dashboard'!$C$7)),1,0))</f>
        <v/>
      </c>
      <c r="Z300" s="25">
        <f>IF(AND($A300&lt;&gt;"",$S300&lt;&gt;"",$Y300=1),SUMPRODUCT(($A$8:$A300&lt;&gt;"")*($S$8:$S300&lt;&gt;"")*($Y$8:$Y300=1)),"")</f>
        <v/>
      </c>
      <c r="AA300" s="25">
        <f>IF(AND($A300&lt;&gt;"",$T300&lt;&gt;"",$Y300=1),SUMPRODUCT(($A$8:$A300&lt;&gt;"")*($T$8:$T300&lt;&gt;"")*($Y$8:$Y300=1)),"")</f>
        <v/>
      </c>
    </row>
    <row r="301">
      <c r="A301" s="13" t="n"/>
      <c r="B301" s="13" t="n"/>
      <c r="C301" s="26" t="n"/>
      <c r="D301" s="26" t="n"/>
      <c r="E301" s="26" t="n"/>
      <c r="F301" s="13" t="n"/>
      <c r="G301" s="13" t="n"/>
      <c r="H301" s="13" t="n"/>
      <c r="I301" s="13" t="n"/>
      <c r="J301" s="23">
        <f>IF($A301="","",IFERROR(INDEX('Ref_Crosswalk'!$F$2:$F$500,MATCH($A301,'Ref_Crosswalk'!$A$2:$A$500,0)),"UNKNOWN"))</f>
        <v/>
      </c>
      <c r="K301" s="24">
        <f>IF($A301="","",IFERROR(INDEX('Ref_Tolerance'!$B$2:$B$9,MATCH($J301,'Ref_Tolerance'!$A$2:$A$9,0)),""))</f>
        <v/>
      </c>
      <c r="L301" s="23">
        <f>IF($A301="","",IFERROR(INDEX('Ref_Tolerance'!$D$2:$D$9,MATCH($J301,'Ref_Tolerance'!$A$2:$A$9,0)),""))</f>
        <v/>
      </c>
      <c r="M301" s="24">
        <f>IF($A301="","",IFERROR(ABS(N($D301))/N($C301),0))</f>
        <v/>
      </c>
      <c r="N301" s="24">
        <f>IF($A301="","",IFERROR(N($E301)/N($C301),0))</f>
        <v/>
      </c>
      <c r="O301" s="23">
        <f>IF($A301="",0,IFERROR(SUMPRODUCT(($A$8:$A$307=$A301)*($P$8:$P$307="FAIL")*($U$8:$U$307&gt;$V301)*($U$8:$U$307&lt;=$U301)),0))</f>
        <v/>
      </c>
      <c r="P301" s="23">
        <f>IF($A301="","",IFERROR(IF(NOT(ISNUMBER($K301)),"CHECK",IF($L301="MARGIN",IF($N301&lt;=$K301,"PASS","FAIL"),IF($M301&lt;=$K301,"PASS","FAIL"))),"CHECK"))</f>
        <v/>
      </c>
      <c r="Q301" s="23">
        <f>IF($A301="","",IFERROR(INDEX('Ref_Tolerance'!$E$2:$E$9,MATCH($J301,'Ref_Tolerance'!$A$2:$A$9,0)),""))</f>
        <v/>
      </c>
      <c r="R301" s="23">
        <f>IF($A301="","",IFERROR(IF($O301=0,"CLEAR",IF($O301=1,"MFR DUE - MANAGER",IF($O301=2,"MFR DUE - FSS/CC SIGNATURE REQUIRED","INVESTIGATION + REPORT OF SURVEY; MSG/CC NOTIFIED"))),""))</f>
        <v/>
      </c>
      <c r="S301" s="23">
        <f>IF($A301="","",IF($O301=2,"WATCH - ONE MORE MISS TRIGGERS INVESTIGATION",""))</f>
        <v/>
      </c>
      <c r="T301" s="23">
        <f>IF($A301="","",IFERROR(IF(AND($O301&gt;=1,$F301&lt;&gt;"Y"),"MFR NOT SUBMITTED",IF(AND($O301&gt;=2,$G301&lt;&gt;"Y"),"FSS/CC SIGNATURE MISSING",IF(AND($O301&gt;=3,$H301&lt;&gt;"Y"),"INVESTIGATION NOT OPENED",""))),""))</f>
        <v/>
      </c>
      <c r="U301" s="25">
        <f>IF($A301="",0,IFERROR(MATCH($B301,'Ref_Calendar'!$A$2:$A$500,0),0))</f>
        <v/>
      </c>
      <c r="V301" s="25">
        <f>IF($A301="",0,IFERROR(SUMPRODUCT(MAX(($A$8:$A$307=$A301)*($P$8:$P$307="PASS")*($U$8:$U$307&lt;=$U301)*$U$8:$U$307)),0))</f>
        <v/>
      </c>
      <c r="W301" s="25">
        <f>IF($A301="","",IFERROR(INDEX('Ref_Crosswalk'!$E$2:$E$500,MATCH($A301,'Ref_Crosswalk'!$A$2:$A$500,0)),""))</f>
        <v/>
      </c>
      <c r="X301" s="25">
        <f>IF($A301="","",IFERROR(INDEX('Ref_Crosswalk'!$C$2:$C$500,MATCH($A301,'Ref_Crosswalk'!$A$2:$A$500,0)),""))</f>
        <v/>
      </c>
      <c r="Y301" s="25">
        <f>IF($A301="",0,IF(AND(OR('Out_Dashboard'!$C$5="",$W301='Out_Dashboard'!$C$5),OR('Out_Dashboard'!$C$6="",$X301='Out_Dashboard'!$C$6),OR('Out_Dashboard'!$C$7="",$B301='Out_Dashboard'!$C$7)),1,0))</f>
        <v/>
      </c>
      <c r="Z301" s="25">
        <f>IF(AND($A301&lt;&gt;"",$S301&lt;&gt;"",$Y301=1),SUMPRODUCT(($A$8:$A301&lt;&gt;"")*($S$8:$S301&lt;&gt;"")*($Y$8:$Y301=1)),"")</f>
        <v/>
      </c>
      <c r="AA301" s="25">
        <f>IF(AND($A301&lt;&gt;"",$T301&lt;&gt;"",$Y301=1),SUMPRODUCT(($A$8:$A301&lt;&gt;"")*($T$8:$T301&lt;&gt;"")*($Y$8:$Y301=1)),"")</f>
        <v/>
      </c>
    </row>
    <row r="302">
      <c r="A302" s="13" t="n"/>
      <c r="B302" s="13" t="n"/>
      <c r="C302" s="26" t="n"/>
      <c r="D302" s="26" t="n"/>
      <c r="E302" s="26" t="n"/>
      <c r="F302" s="13" t="n"/>
      <c r="G302" s="13" t="n"/>
      <c r="H302" s="13" t="n"/>
      <c r="I302" s="13" t="n"/>
      <c r="J302" s="23">
        <f>IF($A302="","",IFERROR(INDEX('Ref_Crosswalk'!$F$2:$F$500,MATCH($A302,'Ref_Crosswalk'!$A$2:$A$500,0)),"UNKNOWN"))</f>
        <v/>
      </c>
      <c r="K302" s="24">
        <f>IF($A302="","",IFERROR(INDEX('Ref_Tolerance'!$B$2:$B$9,MATCH($J302,'Ref_Tolerance'!$A$2:$A$9,0)),""))</f>
        <v/>
      </c>
      <c r="L302" s="23">
        <f>IF($A302="","",IFERROR(INDEX('Ref_Tolerance'!$D$2:$D$9,MATCH($J302,'Ref_Tolerance'!$A$2:$A$9,0)),""))</f>
        <v/>
      </c>
      <c r="M302" s="24">
        <f>IF($A302="","",IFERROR(ABS(N($D302))/N($C302),0))</f>
        <v/>
      </c>
      <c r="N302" s="24">
        <f>IF($A302="","",IFERROR(N($E302)/N($C302),0))</f>
        <v/>
      </c>
      <c r="O302" s="23">
        <f>IF($A302="",0,IFERROR(SUMPRODUCT(($A$8:$A$307=$A302)*($P$8:$P$307="FAIL")*($U$8:$U$307&gt;$V302)*($U$8:$U$307&lt;=$U302)),0))</f>
        <v/>
      </c>
      <c r="P302" s="23">
        <f>IF($A302="","",IFERROR(IF(NOT(ISNUMBER($K302)),"CHECK",IF($L302="MARGIN",IF($N302&lt;=$K302,"PASS","FAIL"),IF($M302&lt;=$K302,"PASS","FAIL"))),"CHECK"))</f>
        <v/>
      </c>
      <c r="Q302" s="23">
        <f>IF($A302="","",IFERROR(INDEX('Ref_Tolerance'!$E$2:$E$9,MATCH($J302,'Ref_Tolerance'!$A$2:$A$9,0)),""))</f>
        <v/>
      </c>
      <c r="R302" s="23">
        <f>IF($A302="","",IFERROR(IF($O302=0,"CLEAR",IF($O302=1,"MFR DUE - MANAGER",IF($O302=2,"MFR DUE - FSS/CC SIGNATURE REQUIRED","INVESTIGATION + REPORT OF SURVEY; MSG/CC NOTIFIED"))),""))</f>
        <v/>
      </c>
      <c r="S302" s="23">
        <f>IF($A302="","",IF($O302=2,"WATCH - ONE MORE MISS TRIGGERS INVESTIGATION",""))</f>
        <v/>
      </c>
      <c r="T302" s="23">
        <f>IF($A302="","",IFERROR(IF(AND($O302&gt;=1,$F302&lt;&gt;"Y"),"MFR NOT SUBMITTED",IF(AND($O302&gt;=2,$G302&lt;&gt;"Y"),"FSS/CC SIGNATURE MISSING",IF(AND($O302&gt;=3,$H302&lt;&gt;"Y"),"INVESTIGATION NOT OPENED",""))),""))</f>
        <v/>
      </c>
      <c r="U302" s="25">
        <f>IF($A302="",0,IFERROR(MATCH($B302,'Ref_Calendar'!$A$2:$A$500,0),0))</f>
        <v/>
      </c>
      <c r="V302" s="25">
        <f>IF($A302="",0,IFERROR(SUMPRODUCT(MAX(($A$8:$A$307=$A302)*($P$8:$P$307="PASS")*($U$8:$U$307&lt;=$U302)*$U$8:$U$307)),0))</f>
        <v/>
      </c>
      <c r="W302" s="25">
        <f>IF($A302="","",IFERROR(INDEX('Ref_Crosswalk'!$E$2:$E$500,MATCH($A302,'Ref_Crosswalk'!$A$2:$A$500,0)),""))</f>
        <v/>
      </c>
      <c r="X302" s="25">
        <f>IF($A302="","",IFERROR(INDEX('Ref_Crosswalk'!$C$2:$C$500,MATCH($A302,'Ref_Crosswalk'!$A$2:$A$500,0)),""))</f>
        <v/>
      </c>
      <c r="Y302" s="25">
        <f>IF($A302="",0,IF(AND(OR('Out_Dashboard'!$C$5="",$W302='Out_Dashboard'!$C$5),OR('Out_Dashboard'!$C$6="",$X302='Out_Dashboard'!$C$6),OR('Out_Dashboard'!$C$7="",$B302='Out_Dashboard'!$C$7)),1,0))</f>
        <v/>
      </c>
      <c r="Z302" s="25">
        <f>IF(AND($A302&lt;&gt;"",$S302&lt;&gt;"",$Y302=1),SUMPRODUCT(($A$8:$A302&lt;&gt;"")*($S$8:$S302&lt;&gt;"")*($Y$8:$Y302=1)),"")</f>
        <v/>
      </c>
      <c r="AA302" s="25">
        <f>IF(AND($A302&lt;&gt;"",$T302&lt;&gt;"",$Y302=1),SUMPRODUCT(($A$8:$A302&lt;&gt;"")*($T$8:$T302&lt;&gt;"")*($Y$8:$Y302=1)),"")</f>
        <v/>
      </c>
    </row>
    <row r="303">
      <c r="A303" s="13" t="n"/>
      <c r="B303" s="13" t="n"/>
      <c r="C303" s="26" t="n"/>
      <c r="D303" s="26" t="n"/>
      <c r="E303" s="26" t="n"/>
      <c r="F303" s="13" t="n"/>
      <c r="G303" s="13" t="n"/>
      <c r="H303" s="13" t="n"/>
      <c r="I303" s="13" t="n"/>
      <c r="J303" s="23">
        <f>IF($A303="","",IFERROR(INDEX('Ref_Crosswalk'!$F$2:$F$500,MATCH($A303,'Ref_Crosswalk'!$A$2:$A$500,0)),"UNKNOWN"))</f>
        <v/>
      </c>
      <c r="K303" s="24">
        <f>IF($A303="","",IFERROR(INDEX('Ref_Tolerance'!$B$2:$B$9,MATCH($J303,'Ref_Tolerance'!$A$2:$A$9,0)),""))</f>
        <v/>
      </c>
      <c r="L303" s="23">
        <f>IF($A303="","",IFERROR(INDEX('Ref_Tolerance'!$D$2:$D$9,MATCH($J303,'Ref_Tolerance'!$A$2:$A$9,0)),""))</f>
        <v/>
      </c>
      <c r="M303" s="24">
        <f>IF($A303="","",IFERROR(ABS(N($D303))/N($C303),0))</f>
        <v/>
      </c>
      <c r="N303" s="24">
        <f>IF($A303="","",IFERROR(N($E303)/N($C303),0))</f>
        <v/>
      </c>
      <c r="O303" s="23">
        <f>IF($A303="",0,IFERROR(SUMPRODUCT(($A$8:$A$307=$A303)*($P$8:$P$307="FAIL")*($U$8:$U$307&gt;$V303)*($U$8:$U$307&lt;=$U303)),0))</f>
        <v/>
      </c>
      <c r="P303" s="23">
        <f>IF($A303="","",IFERROR(IF(NOT(ISNUMBER($K303)),"CHECK",IF($L303="MARGIN",IF($N303&lt;=$K303,"PASS","FAIL"),IF($M303&lt;=$K303,"PASS","FAIL"))),"CHECK"))</f>
        <v/>
      </c>
      <c r="Q303" s="23">
        <f>IF($A303="","",IFERROR(INDEX('Ref_Tolerance'!$E$2:$E$9,MATCH($J303,'Ref_Tolerance'!$A$2:$A$9,0)),""))</f>
        <v/>
      </c>
      <c r="R303" s="23">
        <f>IF($A303="","",IFERROR(IF($O303=0,"CLEAR",IF($O303=1,"MFR DUE - MANAGER",IF($O303=2,"MFR DUE - FSS/CC SIGNATURE REQUIRED","INVESTIGATION + REPORT OF SURVEY; MSG/CC NOTIFIED"))),""))</f>
        <v/>
      </c>
      <c r="S303" s="23">
        <f>IF($A303="","",IF($O303=2,"WATCH - ONE MORE MISS TRIGGERS INVESTIGATION",""))</f>
        <v/>
      </c>
      <c r="T303" s="23">
        <f>IF($A303="","",IFERROR(IF(AND($O303&gt;=1,$F303&lt;&gt;"Y"),"MFR NOT SUBMITTED",IF(AND($O303&gt;=2,$G303&lt;&gt;"Y"),"FSS/CC SIGNATURE MISSING",IF(AND($O303&gt;=3,$H303&lt;&gt;"Y"),"INVESTIGATION NOT OPENED",""))),""))</f>
        <v/>
      </c>
      <c r="U303" s="25">
        <f>IF($A303="",0,IFERROR(MATCH($B303,'Ref_Calendar'!$A$2:$A$500,0),0))</f>
        <v/>
      </c>
      <c r="V303" s="25">
        <f>IF($A303="",0,IFERROR(SUMPRODUCT(MAX(($A$8:$A$307=$A303)*($P$8:$P$307="PASS")*($U$8:$U$307&lt;=$U303)*$U$8:$U$307)),0))</f>
        <v/>
      </c>
      <c r="W303" s="25">
        <f>IF($A303="","",IFERROR(INDEX('Ref_Crosswalk'!$E$2:$E$500,MATCH($A303,'Ref_Crosswalk'!$A$2:$A$500,0)),""))</f>
        <v/>
      </c>
      <c r="X303" s="25">
        <f>IF($A303="","",IFERROR(INDEX('Ref_Crosswalk'!$C$2:$C$500,MATCH($A303,'Ref_Crosswalk'!$A$2:$A$500,0)),""))</f>
        <v/>
      </c>
      <c r="Y303" s="25">
        <f>IF($A303="",0,IF(AND(OR('Out_Dashboard'!$C$5="",$W303='Out_Dashboard'!$C$5),OR('Out_Dashboard'!$C$6="",$X303='Out_Dashboard'!$C$6),OR('Out_Dashboard'!$C$7="",$B303='Out_Dashboard'!$C$7)),1,0))</f>
        <v/>
      </c>
      <c r="Z303" s="25">
        <f>IF(AND($A303&lt;&gt;"",$S303&lt;&gt;"",$Y303=1),SUMPRODUCT(($A$8:$A303&lt;&gt;"")*($S$8:$S303&lt;&gt;"")*($Y$8:$Y303=1)),"")</f>
        <v/>
      </c>
      <c r="AA303" s="25">
        <f>IF(AND($A303&lt;&gt;"",$T303&lt;&gt;"",$Y303=1),SUMPRODUCT(($A$8:$A303&lt;&gt;"")*($T$8:$T303&lt;&gt;"")*($Y$8:$Y303=1)),"")</f>
        <v/>
      </c>
    </row>
    <row r="304">
      <c r="A304" s="13" t="n"/>
      <c r="B304" s="13" t="n"/>
      <c r="C304" s="26" t="n"/>
      <c r="D304" s="26" t="n"/>
      <c r="E304" s="26" t="n"/>
      <c r="F304" s="13" t="n"/>
      <c r="G304" s="13" t="n"/>
      <c r="H304" s="13" t="n"/>
      <c r="I304" s="13" t="n"/>
      <c r="J304" s="23">
        <f>IF($A304="","",IFERROR(INDEX('Ref_Crosswalk'!$F$2:$F$500,MATCH($A304,'Ref_Crosswalk'!$A$2:$A$500,0)),"UNKNOWN"))</f>
        <v/>
      </c>
      <c r="K304" s="24">
        <f>IF($A304="","",IFERROR(INDEX('Ref_Tolerance'!$B$2:$B$9,MATCH($J304,'Ref_Tolerance'!$A$2:$A$9,0)),""))</f>
        <v/>
      </c>
      <c r="L304" s="23">
        <f>IF($A304="","",IFERROR(INDEX('Ref_Tolerance'!$D$2:$D$9,MATCH($J304,'Ref_Tolerance'!$A$2:$A$9,0)),""))</f>
        <v/>
      </c>
      <c r="M304" s="24">
        <f>IF($A304="","",IFERROR(ABS(N($D304))/N($C304),0))</f>
        <v/>
      </c>
      <c r="N304" s="24">
        <f>IF($A304="","",IFERROR(N($E304)/N($C304),0))</f>
        <v/>
      </c>
      <c r="O304" s="23">
        <f>IF($A304="",0,IFERROR(SUMPRODUCT(($A$8:$A$307=$A304)*($P$8:$P$307="FAIL")*($U$8:$U$307&gt;$V304)*($U$8:$U$307&lt;=$U304)),0))</f>
        <v/>
      </c>
      <c r="P304" s="23">
        <f>IF($A304="","",IFERROR(IF(NOT(ISNUMBER($K304)),"CHECK",IF($L304="MARGIN",IF($N304&lt;=$K304,"PASS","FAIL"),IF($M304&lt;=$K304,"PASS","FAIL"))),"CHECK"))</f>
        <v/>
      </c>
      <c r="Q304" s="23">
        <f>IF($A304="","",IFERROR(INDEX('Ref_Tolerance'!$E$2:$E$9,MATCH($J304,'Ref_Tolerance'!$A$2:$A$9,0)),""))</f>
        <v/>
      </c>
      <c r="R304" s="23">
        <f>IF($A304="","",IFERROR(IF($O304=0,"CLEAR",IF($O304=1,"MFR DUE - MANAGER",IF($O304=2,"MFR DUE - FSS/CC SIGNATURE REQUIRED","INVESTIGATION + REPORT OF SURVEY; MSG/CC NOTIFIED"))),""))</f>
        <v/>
      </c>
      <c r="S304" s="23">
        <f>IF($A304="","",IF($O304=2,"WATCH - ONE MORE MISS TRIGGERS INVESTIGATION",""))</f>
        <v/>
      </c>
      <c r="T304" s="23">
        <f>IF($A304="","",IFERROR(IF(AND($O304&gt;=1,$F304&lt;&gt;"Y"),"MFR NOT SUBMITTED",IF(AND($O304&gt;=2,$G304&lt;&gt;"Y"),"FSS/CC SIGNATURE MISSING",IF(AND($O304&gt;=3,$H304&lt;&gt;"Y"),"INVESTIGATION NOT OPENED",""))),""))</f>
        <v/>
      </c>
      <c r="U304" s="25">
        <f>IF($A304="",0,IFERROR(MATCH($B304,'Ref_Calendar'!$A$2:$A$500,0),0))</f>
        <v/>
      </c>
      <c r="V304" s="25">
        <f>IF($A304="",0,IFERROR(SUMPRODUCT(MAX(($A$8:$A$307=$A304)*($P$8:$P$307="PASS")*($U$8:$U$307&lt;=$U304)*$U$8:$U$307)),0))</f>
        <v/>
      </c>
      <c r="W304" s="25">
        <f>IF($A304="","",IFERROR(INDEX('Ref_Crosswalk'!$E$2:$E$500,MATCH($A304,'Ref_Crosswalk'!$A$2:$A$500,0)),""))</f>
        <v/>
      </c>
      <c r="X304" s="25">
        <f>IF($A304="","",IFERROR(INDEX('Ref_Crosswalk'!$C$2:$C$500,MATCH($A304,'Ref_Crosswalk'!$A$2:$A$500,0)),""))</f>
        <v/>
      </c>
      <c r="Y304" s="25">
        <f>IF($A304="",0,IF(AND(OR('Out_Dashboard'!$C$5="",$W304='Out_Dashboard'!$C$5),OR('Out_Dashboard'!$C$6="",$X304='Out_Dashboard'!$C$6),OR('Out_Dashboard'!$C$7="",$B304='Out_Dashboard'!$C$7)),1,0))</f>
        <v/>
      </c>
      <c r="Z304" s="25">
        <f>IF(AND($A304&lt;&gt;"",$S304&lt;&gt;"",$Y304=1),SUMPRODUCT(($A$8:$A304&lt;&gt;"")*($S$8:$S304&lt;&gt;"")*($Y$8:$Y304=1)),"")</f>
        <v/>
      </c>
      <c r="AA304" s="25">
        <f>IF(AND($A304&lt;&gt;"",$T304&lt;&gt;"",$Y304=1),SUMPRODUCT(($A$8:$A304&lt;&gt;"")*($T$8:$T304&lt;&gt;"")*($Y$8:$Y304=1)),"")</f>
        <v/>
      </c>
    </row>
    <row r="305">
      <c r="A305" s="13" t="n"/>
      <c r="B305" s="13" t="n"/>
      <c r="C305" s="26" t="n"/>
      <c r="D305" s="26" t="n"/>
      <c r="E305" s="26" t="n"/>
      <c r="F305" s="13" t="n"/>
      <c r="G305" s="13" t="n"/>
      <c r="H305" s="13" t="n"/>
      <c r="I305" s="13" t="n"/>
      <c r="J305" s="23">
        <f>IF($A305="","",IFERROR(INDEX('Ref_Crosswalk'!$F$2:$F$500,MATCH($A305,'Ref_Crosswalk'!$A$2:$A$500,0)),"UNKNOWN"))</f>
        <v/>
      </c>
      <c r="K305" s="24">
        <f>IF($A305="","",IFERROR(INDEX('Ref_Tolerance'!$B$2:$B$9,MATCH($J305,'Ref_Tolerance'!$A$2:$A$9,0)),""))</f>
        <v/>
      </c>
      <c r="L305" s="23">
        <f>IF($A305="","",IFERROR(INDEX('Ref_Tolerance'!$D$2:$D$9,MATCH($J305,'Ref_Tolerance'!$A$2:$A$9,0)),""))</f>
        <v/>
      </c>
      <c r="M305" s="24">
        <f>IF($A305="","",IFERROR(ABS(N($D305))/N($C305),0))</f>
        <v/>
      </c>
      <c r="N305" s="24">
        <f>IF($A305="","",IFERROR(N($E305)/N($C305),0))</f>
        <v/>
      </c>
      <c r="O305" s="23">
        <f>IF($A305="",0,IFERROR(SUMPRODUCT(($A$8:$A$307=$A305)*($P$8:$P$307="FAIL")*($U$8:$U$307&gt;$V305)*($U$8:$U$307&lt;=$U305)),0))</f>
        <v/>
      </c>
      <c r="P305" s="23">
        <f>IF($A305="","",IFERROR(IF(NOT(ISNUMBER($K305)),"CHECK",IF($L305="MARGIN",IF($N305&lt;=$K305,"PASS","FAIL"),IF($M305&lt;=$K305,"PASS","FAIL"))),"CHECK"))</f>
        <v/>
      </c>
      <c r="Q305" s="23">
        <f>IF($A305="","",IFERROR(INDEX('Ref_Tolerance'!$E$2:$E$9,MATCH($J305,'Ref_Tolerance'!$A$2:$A$9,0)),""))</f>
        <v/>
      </c>
      <c r="R305" s="23">
        <f>IF($A305="","",IFERROR(IF($O305=0,"CLEAR",IF($O305=1,"MFR DUE - MANAGER",IF($O305=2,"MFR DUE - FSS/CC SIGNATURE REQUIRED","INVESTIGATION + REPORT OF SURVEY; MSG/CC NOTIFIED"))),""))</f>
        <v/>
      </c>
      <c r="S305" s="23">
        <f>IF($A305="","",IF($O305=2,"WATCH - ONE MORE MISS TRIGGERS INVESTIGATION",""))</f>
        <v/>
      </c>
      <c r="T305" s="23">
        <f>IF($A305="","",IFERROR(IF(AND($O305&gt;=1,$F305&lt;&gt;"Y"),"MFR NOT SUBMITTED",IF(AND($O305&gt;=2,$G305&lt;&gt;"Y"),"FSS/CC SIGNATURE MISSING",IF(AND($O305&gt;=3,$H305&lt;&gt;"Y"),"INVESTIGATION NOT OPENED",""))),""))</f>
        <v/>
      </c>
      <c r="U305" s="25">
        <f>IF($A305="",0,IFERROR(MATCH($B305,'Ref_Calendar'!$A$2:$A$500,0),0))</f>
        <v/>
      </c>
      <c r="V305" s="25">
        <f>IF($A305="",0,IFERROR(SUMPRODUCT(MAX(($A$8:$A$307=$A305)*($P$8:$P$307="PASS")*($U$8:$U$307&lt;=$U305)*$U$8:$U$307)),0))</f>
        <v/>
      </c>
      <c r="W305" s="25">
        <f>IF($A305="","",IFERROR(INDEX('Ref_Crosswalk'!$E$2:$E$500,MATCH($A305,'Ref_Crosswalk'!$A$2:$A$500,0)),""))</f>
        <v/>
      </c>
      <c r="X305" s="25">
        <f>IF($A305="","",IFERROR(INDEX('Ref_Crosswalk'!$C$2:$C$500,MATCH($A305,'Ref_Crosswalk'!$A$2:$A$500,0)),""))</f>
        <v/>
      </c>
      <c r="Y305" s="25">
        <f>IF($A305="",0,IF(AND(OR('Out_Dashboard'!$C$5="",$W305='Out_Dashboard'!$C$5),OR('Out_Dashboard'!$C$6="",$X305='Out_Dashboard'!$C$6),OR('Out_Dashboard'!$C$7="",$B305='Out_Dashboard'!$C$7)),1,0))</f>
        <v/>
      </c>
      <c r="Z305" s="25">
        <f>IF(AND($A305&lt;&gt;"",$S305&lt;&gt;"",$Y305=1),SUMPRODUCT(($A$8:$A305&lt;&gt;"")*($S$8:$S305&lt;&gt;"")*($Y$8:$Y305=1)),"")</f>
        <v/>
      </c>
      <c r="AA305" s="25">
        <f>IF(AND($A305&lt;&gt;"",$T305&lt;&gt;"",$Y305=1),SUMPRODUCT(($A$8:$A305&lt;&gt;"")*($T$8:$T305&lt;&gt;"")*($Y$8:$Y305=1)),"")</f>
        <v/>
      </c>
    </row>
    <row r="306">
      <c r="A306" s="13" t="n"/>
      <c r="B306" s="13" t="n"/>
      <c r="C306" s="26" t="n"/>
      <c r="D306" s="26" t="n"/>
      <c r="E306" s="26" t="n"/>
      <c r="F306" s="13" t="n"/>
      <c r="G306" s="13" t="n"/>
      <c r="H306" s="13" t="n"/>
      <c r="I306" s="13" t="n"/>
      <c r="J306" s="23">
        <f>IF($A306="","",IFERROR(INDEX('Ref_Crosswalk'!$F$2:$F$500,MATCH($A306,'Ref_Crosswalk'!$A$2:$A$500,0)),"UNKNOWN"))</f>
        <v/>
      </c>
      <c r="K306" s="24">
        <f>IF($A306="","",IFERROR(INDEX('Ref_Tolerance'!$B$2:$B$9,MATCH($J306,'Ref_Tolerance'!$A$2:$A$9,0)),""))</f>
        <v/>
      </c>
      <c r="L306" s="23">
        <f>IF($A306="","",IFERROR(INDEX('Ref_Tolerance'!$D$2:$D$9,MATCH($J306,'Ref_Tolerance'!$A$2:$A$9,0)),""))</f>
        <v/>
      </c>
      <c r="M306" s="24">
        <f>IF($A306="","",IFERROR(ABS(N($D306))/N($C306),0))</f>
        <v/>
      </c>
      <c r="N306" s="24">
        <f>IF($A306="","",IFERROR(N($E306)/N($C306),0))</f>
        <v/>
      </c>
      <c r="O306" s="23">
        <f>IF($A306="",0,IFERROR(SUMPRODUCT(($A$8:$A$307=$A306)*($P$8:$P$307="FAIL")*($U$8:$U$307&gt;$V306)*($U$8:$U$307&lt;=$U306)),0))</f>
        <v/>
      </c>
      <c r="P306" s="23">
        <f>IF($A306="","",IFERROR(IF(NOT(ISNUMBER($K306)),"CHECK",IF($L306="MARGIN",IF($N306&lt;=$K306,"PASS","FAIL"),IF($M306&lt;=$K306,"PASS","FAIL"))),"CHECK"))</f>
        <v/>
      </c>
      <c r="Q306" s="23">
        <f>IF($A306="","",IFERROR(INDEX('Ref_Tolerance'!$E$2:$E$9,MATCH($J306,'Ref_Tolerance'!$A$2:$A$9,0)),""))</f>
        <v/>
      </c>
      <c r="R306" s="23">
        <f>IF($A306="","",IFERROR(IF($O306=0,"CLEAR",IF($O306=1,"MFR DUE - MANAGER",IF($O306=2,"MFR DUE - FSS/CC SIGNATURE REQUIRED","INVESTIGATION + REPORT OF SURVEY; MSG/CC NOTIFIED"))),""))</f>
        <v/>
      </c>
      <c r="S306" s="23">
        <f>IF($A306="","",IF($O306=2,"WATCH - ONE MORE MISS TRIGGERS INVESTIGATION",""))</f>
        <v/>
      </c>
      <c r="T306" s="23">
        <f>IF($A306="","",IFERROR(IF(AND($O306&gt;=1,$F306&lt;&gt;"Y"),"MFR NOT SUBMITTED",IF(AND($O306&gt;=2,$G306&lt;&gt;"Y"),"FSS/CC SIGNATURE MISSING",IF(AND($O306&gt;=3,$H306&lt;&gt;"Y"),"INVESTIGATION NOT OPENED",""))),""))</f>
        <v/>
      </c>
      <c r="U306" s="25">
        <f>IF($A306="",0,IFERROR(MATCH($B306,'Ref_Calendar'!$A$2:$A$500,0),0))</f>
        <v/>
      </c>
      <c r="V306" s="25">
        <f>IF($A306="",0,IFERROR(SUMPRODUCT(MAX(($A$8:$A$307=$A306)*($P$8:$P$307="PASS")*($U$8:$U$307&lt;=$U306)*$U$8:$U$307)),0))</f>
        <v/>
      </c>
      <c r="W306" s="25">
        <f>IF($A306="","",IFERROR(INDEX('Ref_Crosswalk'!$E$2:$E$500,MATCH($A306,'Ref_Crosswalk'!$A$2:$A$500,0)),""))</f>
        <v/>
      </c>
      <c r="X306" s="25">
        <f>IF($A306="","",IFERROR(INDEX('Ref_Crosswalk'!$C$2:$C$500,MATCH($A306,'Ref_Crosswalk'!$A$2:$A$500,0)),""))</f>
        <v/>
      </c>
      <c r="Y306" s="25">
        <f>IF($A306="",0,IF(AND(OR('Out_Dashboard'!$C$5="",$W306='Out_Dashboard'!$C$5),OR('Out_Dashboard'!$C$6="",$X306='Out_Dashboard'!$C$6),OR('Out_Dashboard'!$C$7="",$B306='Out_Dashboard'!$C$7)),1,0))</f>
        <v/>
      </c>
      <c r="Z306" s="25">
        <f>IF(AND($A306&lt;&gt;"",$S306&lt;&gt;"",$Y306=1),SUMPRODUCT(($A$8:$A306&lt;&gt;"")*($S$8:$S306&lt;&gt;"")*($Y$8:$Y306=1)),"")</f>
        <v/>
      </c>
      <c r="AA306" s="25">
        <f>IF(AND($A306&lt;&gt;"",$T306&lt;&gt;"",$Y306=1),SUMPRODUCT(($A$8:$A306&lt;&gt;"")*($T$8:$T306&lt;&gt;"")*($Y$8:$Y306=1)),"")</f>
        <v/>
      </c>
    </row>
    <row r="307">
      <c r="A307" s="13" t="n"/>
      <c r="B307" s="13" t="n"/>
      <c r="C307" s="26" t="n"/>
      <c r="D307" s="26" t="n"/>
      <c r="E307" s="26" t="n"/>
      <c r="F307" s="13" t="n"/>
      <c r="G307" s="13" t="n"/>
      <c r="H307" s="13" t="n"/>
      <c r="I307" s="13" t="n"/>
      <c r="J307" s="23">
        <f>IF($A307="","",IFERROR(INDEX('Ref_Crosswalk'!$F$2:$F$500,MATCH($A307,'Ref_Crosswalk'!$A$2:$A$500,0)),"UNKNOWN"))</f>
        <v/>
      </c>
      <c r="K307" s="24">
        <f>IF($A307="","",IFERROR(INDEX('Ref_Tolerance'!$B$2:$B$9,MATCH($J307,'Ref_Tolerance'!$A$2:$A$9,0)),""))</f>
        <v/>
      </c>
      <c r="L307" s="23">
        <f>IF($A307="","",IFERROR(INDEX('Ref_Tolerance'!$D$2:$D$9,MATCH($J307,'Ref_Tolerance'!$A$2:$A$9,0)),""))</f>
        <v/>
      </c>
      <c r="M307" s="24">
        <f>IF($A307="","",IFERROR(ABS(N($D307))/N($C307),0))</f>
        <v/>
      </c>
      <c r="N307" s="24">
        <f>IF($A307="","",IFERROR(N($E307)/N($C307),0))</f>
        <v/>
      </c>
      <c r="O307" s="23">
        <f>IF($A307="",0,IFERROR(SUMPRODUCT(($A$8:$A$307=$A307)*($P$8:$P$307="FAIL")*($U$8:$U$307&gt;$V307)*($U$8:$U$307&lt;=$U307)),0))</f>
        <v/>
      </c>
      <c r="P307" s="23">
        <f>IF($A307="","",IFERROR(IF(NOT(ISNUMBER($K307)),"CHECK",IF($L307="MARGIN",IF($N307&lt;=$K307,"PASS","FAIL"),IF($M307&lt;=$K307,"PASS","FAIL"))),"CHECK"))</f>
        <v/>
      </c>
      <c r="Q307" s="23">
        <f>IF($A307="","",IFERROR(INDEX('Ref_Tolerance'!$E$2:$E$9,MATCH($J307,'Ref_Tolerance'!$A$2:$A$9,0)),""))</f>
        <v/>
      </c>
      <c r="R307" s="23">
        <f>IF($A307="","",IFERROR(IF($O307=0,"CLEAR",IF($O307=1,"MFR DUE - MANAGER",IF($O307=2,"MFR DUE - FSS/CC SIGNATURE REQUIRED","INVESTIGATION + REPORT OF SURVEY; MSG/CC NOTIFIED"))),""))</f>
        <v/>
      </c>
      <c r="S307" s="23">
        <f>IF($A307="","",IF($O307=2,"WATCH - ONE MORE MISS TRIGGERS INVESTIGATION",""))</f>
        <v/>
      </c>
      <c r="T307" s="23">
        <f>IF($A307="","",IFERROR(IF(AND($O307&gt;=1,$F307&lt;&gt;"Y"),"MFR NOT SUBMITTED",IF(AND($O307&gt;=2,$G307&lt;&gt;"Y"),"FSS/CC SIGNATURE MISSING",IF(AND($O307&gt;=3,$H307&lt;&gt;"Y"),"INVESTIGATION NOT OPENED",""))),""))</f>
        <v/>
      </c>
      <c r="U307" s="25">
        <f>IF($A307="",0,IFERROR(MATCH($B307,'Ref_Calendar'!$A$2:$A$500,0),0))</f>
        <v/>
      </c>
      <c r="V307" s="25">
        <f>IF($A307="",0,IFERROR(SUMPRODUCT(MAX(($A$8:$A$307=$A307)*($P$8:$P$307="PASS")*($U$8:$U$307&lt;=$U307)*$U$8:$U$307)),0))</f>
        <v/>
      </c>
      <c r="W307" s="25">
        <f>IF($A307="","",IFERROR(INDEX('Ref_Crosswalk'!$E$2:$E$500,MATCH($A307,'Ref_Crosswalk'!$A$2:$A$500,0)),""))</f>
        <v/>
      </c>
      <c r="X307" s="25">
        <f>IF($A307="","",IFERROR(INDEX('Ref_Crosswalk'!$C$2:$C$500,MATCH($A307,'Ref_Crosswalk'!$A$2:$A$500,0)),""))</f>
        <v/>
      </c>
      <c r="Y307" s="25">
        <f>IF($A307="",0,IF(AND(OR('Out_Dashboard'!$C$5="",$W307='Out_Dashboard'!$C$5),OR('Out_Dashboard'!$C$6="",$X307='Out_Dashboard'!$C$6),OR('Out_Dashboard'!$C$7="",$B307='Out_Dashboard'!$C$7)),1,0))</f>
        <v/>
      </c>
      <c r="Z307" s="25">
        <f>IF(AND($A307&lt;&gt;"",$S307&lt;&gt;"",$Y307=1),SUMPRODUCT(($A$8:$A307&lt;&gt;"")*($S$8:$S307&lt;&gt;"")*($Y$8:$Y307=1)),"")</f>
        <v/>
      </c>
      <c r="AA307" s="25">
        <f>IF(AND($A307&lt;&gt;"",$T307&lt;&gt;"",$Y307=1),SUMPRODUCT(($A$8:$A307&lt;&gt;"")*($T$8:$T307&lt;&gt;"")*($Y$8:$Y307=1)),"")</f>
        <v/>
      </c>
    </row>
  </sheetData>
  <conditionalFormatting sqref="P8:P307">
    <cfRule type="cellIs" priority="1" operator="equal" dxfId="0">
      <formula>"FAIL"</formula>
    </cfRule>
  </conditionalFormatting>
  <conditionalFormatting sqref="S8:S307">
    <cfRule type="expression" priority="2" dxfId="1">
      <formula>LEN($S8)&gt;0</formula>
    </cfRule>
  </conditionalFormatting>
  <conditionalFormatting sqref="T8:T307">
    <cfRule type="expression" priority="3" dxfId="0">
      <formula>LEN($T8)&gt;0</formula>
    </cfRule>
  </conditionalFormatting>
  <dataValidations count="3">
    <dataValidation sqref="A8:A307" showDropDown="0" showInputMessage="0" showErrorMessage="0" allowBlank="1" type="list">
      <formula1>'Ref_Crosswalk'!$A$2:$A$500</formula1>
    </dataValidation>
    <dataValidation sqref="B8:B307" showDropDown="0" showInputMessage="0" showErrorMessage="0" allowBlank="1" type="list">
      <formula1>'Ref_Calendar'!$A$2:$A$500</formula1>
    </dataValidation>
    <dataValidation sqref="F8:H30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H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34" customWidth="1" min="5" max="5"/>
    <col width="4" customWidth="1" min="6" max="6"/>
    <col width="16" customWidth="1" min="7" max="7"/>
    <col width="8" customWidth="1" min="8" max="8"/>
  </cols>
  <sheetData>
    <row r="1">
      <c r="A1" s="27" t="inlineStr">
        <is>
          <t>MISSION FEEDING — STATUS DASHBOARD</t>
        </is>
      </c>
    </row>
    <row r="2">
      <c r="A2" s="17" t="inlineStr">
        <is>
          <t>Status as of:</t>
        </is>
      </c>
      <c r="C2" s="28">
        <f>TODAY()</f>
        <v/>
      </c>
    </row>
    <row r="4">
      <c r="A4" s="17" t="inlineStr">
        <is>
          <t>FILTERS  (leave blank = all)</t>
        </is>
      </c>
    </row>
    <row r="5">
      <c r="A5" s="29" t="inlineStr">
        <is>
          <t>MAJCOM:</t>
        </is>
      </c>
      <c r="C5" s="13" t="n"/>
    </row>
    <row r="6">
      <c r="A6" s="29" t="inlineStr">
        <is>
          <t>BASE_ID:</t>
        </is>
      </c>
      <c r="C6" s="13" t="n"/>
    </row>
    <row r="7">
      <c r="A7" s="29" t="inlineStr">
        <is>
          <t>PERIOD_KEY:</t>
        </is>
      </c>
      <c r="C7" s="13" t="inlineStr">
        <is>
          <t>FY2026-P07A</t>
        </is>
      </c>
    </row>
    <row r="9">
      <c r="A9" s="30" t="inlineStr">
        <is>
          <t>HEADLINE — WHAT'S BROKEN</t>
        </is>
      </c>
    </row>
    <row r="10">
      <c r="A10" s="17" t="inlineStr">
        <is>
          <t>DFACs out of tolerance:</t>
        </is>
      </c>
      <c r="D10" s="31">
        <f>SUMPRODUCT(('Out_ComplianceTracker'!$P$8:$P$307="FAIL")*('Out_ComplianceTracker'!$Y$8:$Y$307=1))</f>
        <v/>
      </c>
    </row>
    <row r="11">
      <c r="A11" s="29" t="inlineStr">
        <is>
          <t>Exceptions open:</t>
        </is>
      </c>
      <c r="D11" s="32">
        <f>"no data (Stage 3)"</f>
        <v/>
      </c>
    </row>
    <row r="12">
      <c r="A12" s="29" t="inlineStr">
        <is>
          <t>Dollars at risk:</t>
        </is>
      </c>
      <c r="D12" s="32">
        <f>"no data (Stage 3)"</f>
        <v/>
      </c>
    </row>
    <row r="14">
      <c r="A14" s="30" t="inlineStr">
        <is>
          <t>ESCALATION STATUS</t>
        </is>
      </c>
    </row>
    <row r="15">
      <c r="A15" s="29" t="inlineStr">
        <is>
          <t>Month 1 — MFR due (manager):</t>
        </is>
      </c>
      <c r="D15" s="33">
        <f>SUMPRODUCT(('Out_ComplianceTracker'!$O$8:$O$307=1)*('Out_ComplianceTracker'!$Y$8:$Y$307=1))</f>
        <v/>
      </c>
    </row>
    <row r="16">
      <c r="A16" s="29" t="inlineStr">
        <is>
          <t>Month 2 — FSS/CC signature required:</t>
        </is>
      </c>
      <c r="D16" s="33">
        <f>SUMPRODUCT(('Out_ComplianceTracker'!$O$8:$O$307=2)*('Out_ComplianceTracker'!$Y$8:$Y$307=1))</f>
        <v/>
      </c>
    </row>
    <row r="17">
      <c r="A17" s="29" t="inlineStr">
        <is>
          <t>Month 3+ — investigation triggered:</t>
        </is>
      </c>
      <c r="D17" s="33">
        <f>SUMPRODUCT(('Out_ComplianceTracker'!$O$8:$O$307&gt;=3)*('Out_ComplianceTracker'!$Y$8:$Y$307=1))</f>
        <v/>
      </c>
    </row>
    <row r="19">
      <c r="A19" s="30" t="inlineStr">
        <is>
          <t>WATCH LIST — one more miss triggers investigation</t>
        </is>
      </c>
      <c r="G19" s="34" t="inlineStr">
        <is>
          <t>watch count ►</t>
        </is>
      </c>
      <c r="H19" s="35">
        <f>SUMPRODUCT(('Out_ComplianceTracker'!$S$8:$S$307&lt;&gt;"")*('Out_ComplianceTracker'!$Y$8:$Y$307=1))</f>
        <v/>
      </c>
    </row>
    <row r="20">
      <c r="A20" s="36" t="inlineStr">
        <is>
          <t>DFAC_ID</t>
        </is>
      </c>
      <c r="B20" s="36" t="inlineStr">
        <is>
          <t>DFAC_NAME</t>
        </is>
      </c>
      <c r="C20" s="36" t="inlineStr">
        <is>
          <t>BASE_ID</t>
        </is>
      </c>
      <c r="D20" s="36" t="inlineStr">
        <is>
          <t>MAJCOM</t>
        </is>
      </c>
      <c r="E20" s="36" t="inlineStr">
        <is>
          <t>ESCALATION</t>
        </is>
      </c>
    </row>
    <row r="21">
      <c r="A21" s="23">
        <f>IF($H$19=0,"Nothing on the watch list — you're clear.",IFERROR(INDEX('Out_ComplianceTracker'!$A$8:$A$307,MATCH(1,'Out_ComplianceTracker'!$Z$8:$Z$307,0)),""))</f>
        <v/>
      </c>
      <c r="B21" s="23">
        <f>IFERROR(INDEX('Ref_Crosswalk'!$B$2:$B$500,MATCH(INDEX('Out_ComplianceTracker'!$A$8:$A$307,MATCH(1,'Out_ComplianceTracker'!$Z$8:$Z$307,0)),'Ref_Crosswalk'!$A$2:$A$500,0)),"")</f>
        <v/>
      </c>
      <c r="C21" s="23">
        <f>IFERROR(INDEX('Out_ComplianceTracker'!$X$8:$X$307,MATCH(1,'Out_ComplianceTracker'!$Z$8:$Z$307,0)),"")</f>
        <v/>
      </c>
      <c r="D21" s="23">
        <f>IFERROR(INDEX('Out_ComplianceTracker'!$W$8:$W$307,MATCH(1,'Out_ComplianceTracker'!$Z$8:$Z$307,0)),"")</f>
        <v/>
      </c>
      <c r="E21" s="23">
        <f>IFERROR(INDEX('Out_ComplianceTracker'!$R$8:$R$307,MATCH(1,'Out_ComplianceTracker'!$Z$8:$Z$307,0)),"")</f>
        <v/>
      </c>
    </row>
    <row r="22">
      <c r="A22" s="23">
        <f>IFERROR(INDEX('Out_ComplianceTracker'!$A$8:$A$307,MATCH(2,'Out_ComplianceTracker'!$Z$8:$Z$307,0)),"")</f>
        <v/>
      </c>
      <c r="B22" s="23">
        <f>IFERROR(INDEX('Ref_Crosswalk'!$B$2:$B$500,MATCH(INDEX('Out_ComplianceTracker'!$A$8:$A$307,MATCH(2,'Out_ComplianceTracker'!$Z$8:$Z$307,0)),'Ref_Crosswalk'!$A$2:$A$500,0)),"")</f>
        <v/>
      </c>
      <c r="C22" s="23">
        <f>IFERROR(INDEX('Out_ComplianceTracker'!$X$8:$X$307,MATCH(2,'Out_ComplianceTracker'!$Z$8:$Z$307,0)),"")</f>
        <v/>
      </c>
      <c r="D22" s="23">
        <f>IFERROR(INDEX('Out_ComplianceTracker'!$W$8:$W$307,MATCH(2,'Out_ComplianceTracker'!$Z$8:$Z$307,0)),"")</f>
        <v/>
      </c>
      <c r="E22" s="23">
        <f>IFERROR(INDEX('Out_ComplianceTracker'!$R$8:$R$307,MATCH(2,'Out_ComplianceTracker'!$Z$8:$Z$307,0)),"")</f>
        <v/>
      </c>
    </row>
    <row r="23">
      <c r="A23" s="23">
        <f>IFERROR(INDEX('Out_ComplianceTracker'!$A$8:$A$307,MATCH(3,'Out_ComplianceTracker'!$Z$8:$Z$307,0)),"")</f>
        <v/>
      </c>
      <c r="B23" s="23">
        <f>IFERROR(INDEX('Ref_Crosswalk'!$B$2:$B$500,MATCH(INDEX('Out_ComplianceTracker'!$A$8:$A$307,MATCH(3,'Out_ComplianceTracker'!$Z$8:$Z$307,0)),'Ref_Crosswalk'!$A$2:$A$500,0)),"")</f>
        <v/>
      </c>
      <c r="C23" s="23">
        <f>IFERROR(INDEX('Out_ComplianceTracker'!$X$8:$X$307,MATCH(3,'Out_ComplianceTracker'!$Z$8:$Z$307,0)),"")</f>
        <v/>
      </c>
      <c r="D23" s="23">
        <f>IFERROR(INDEX('Out_ComplianceTracker'!$W$8:$W$307,MATCH(3,'Out_ComplianceTracker'!$Z$8:$Z$307,0)),"")</f>
        <v/>
      </c>
      <c r="E23" s="23">
        <f>IFERROR(INDEX('Out_ComplianceTracker'!$R$8:$R$307,MATCH(3,'Out_ComplianceTracker'!$Z$8:$Z$307,0)),"")</f>
        <v/>
      </c>
    </row>
    <row r="24">
      <c r="A24" s="23">
        <f>IFERROR(INDEX('Out_ComplianceTracker'!$A$8:$A$307,MATCH(4,'Out_ComplianceTracker'!$Z$8:$Z$307,0)),"")</f>
        <v/>
      </c>
      <c r="B24" s="23">
        <f>IFERROR(INDEX('Ref_Crosswalk'!$B$2:$B$500,MATCH(INDEX('Out_ComplianceTracker'!$A$8:$A$307,MATCH(4,'Out_ComplianceTracker'!$Z$8:$Z$307,0)),'Ref_Crosswalk'!$A$2:$A$500,0)),"")</f>
        <v/>
      </c>
      <c r="C24" s="23">
        <f>IFERROR(INDEX('Out_ComplianceTracker'!$X$8:$X$307,MATCH(4,'Out_ComplianceTracker'!$Z$8:$Z$307,0)),"")</f>
        <v/>
      </c>
      <c r="D24" s="23">
        <f>IFERROR(INDEX('Out_ComplianceTracker'!$W$8:$W$307,MATCH(4,'Out_ComplianceTracker'!$Z$8:$Z$307,0)),"")</f>
        <v/>
      </c>
      <c r="E24" s="23">
        <f>IFERROR(INDEX('Out_ComplianceTracker'!$R$8:$R$307,MATCH(4,'Out_ComplianceTracker'!$Z$8:$Z$307,0)),"")</f>
        <v/>
      </c>
    </row>
    <row r="25">
      <c r="A25" s="23">
        <f>IFERROR(INDEX('Out_ComplianceTracker'!$A$8:$A$307,MATCH(5,'Out_ComplianceTracker'!$Z$8:$Z$307,0)),"")</f>
        <v/>
      </c>
      <c r="B25" s="23">
        <f>IFERROR(INDEX('Ref_Crosswalk'!$B$2:$B$500,MATCH(INDEX('Out_ComplianceTracker'!$A$8:$A$307,MATCH(5,'Out_ComplianceTracker'!$Z$8:$Z$307,0)),'Ref_Crosswalk'!$A$2:$A$500,0)),"")</f>
        <v/>
      </c>
      <c r="C25" s="23">
        <f>IFERROR(INDEX('Out_ComplianceTracker'!$X$8:$X$307,MATCH(5,'Out_ComplianceTracker'!$Z$8:$Z$307,0)),"")</f>
        <v/>
      </c>
      <c r="D25" s="23">
        <f>IFERROR(INDEX('Out_ComplianceTracker'!$W$8:$W$307,MATCH(5,'Out_ComplianceTracker'!$Z$8:$Z$307,0)),"")</f>
        <v/>
      </c>
      <c r="E25" s="23">
        <f>IFERROR(INDEX('Out_ComplianceTracker'!$R$8:$R$307,MATCH(5,'Out_ComplianceTracker'!$Z$8:$Z$307,0)),"")</f>
        <v/>
      </c>
    </row>
    <row r="26">
      <c r="A26" s="23">
        <f>IFERROR(INDEX('Out_ComplianceTracker'!$A$8:$A$307,MATCH(6,'Out_ComplianceTracker'!$Z$8:$Z$307,0)),"")</f>
        <v/>
      </c>
      <c r="B26" s="23">
        <f>IFERROR(INDEX('Ref_Crosswalk'!$B$2:$B$500,MATCH(INDEX('Out_ComplianceTracker'!$A$8:$A$307,MATCH(6,'Out_ComplianceTracker'!$Z$8:$Z$307,0)),'Ref_Crosswalk'!$A$2:$A$500,0)),"")</f>
        <v/>
      </c>
      <c r="C26" s="23">
        <f>IFERROR(INDEX('Out_ComplianceTracker'!$X$8:$X$307,MATCH(6,'Out_ComplianceTracker'!$Z$8:$Z$307,0)),"")</f>
        <v/>
      </c>
      <c r="D26" s="23">
        <f>IFERROR(INDEX('Out_ComplianceTracker'!$W$8:$W$307,MATCH(6,'Out_ComplianceTracker'!$Z$8:$Z$307,0)),"")</f>
        <v/>
      </c>
      <c r="E26" s="23">
        <f>IFERROR(INDEX('Out_ComplianceTracker'!$R$8:$R$307,MATCH(6,'Out_ComplianceTracker'!$Z$8:$Z$307,0)),"")</f>
        <v/>
      </c>
    </row>
    <row r="27">
      <c r="A27" s="23">
        <f>IFERROR(INDEX('Out_ComplianceTracker'!$A$8:$A$307,MATCH(7,'Out_ComplianceTracker'!$Z$8:$Z$307,0)),"")</f>
        <v/>
      </c>
      <c r="B27" s="23">
        <f>IFERROR(INDEX('Ref_Crosswalk'!$B$2:$B$500,MATCH(INDEX('Out_ComplianceTracker'!$A$8:$A$307,MATCH(7,'Out_ComplianceTracker'!$Z$8:$Z$307,0)),'Ref_Crosswalk'!$A$2:$A$500,0)),"")</f>
        <v/>
      </c>
      <c r="C27" s="23">
        <f>IFERROR(INDEX('Out_ComplianceTracker'!$X$8:$X$307,MATCH(7,'Out_ComplianceTracker'!$Z$8:$Z$307,0)),"")</f>
        <v/>
      </c>
      <c r="D27" s="23">
        <f>IFERROR(INDEX('Out_ComplianceTracker'!$W$8:$W$307,MATCH(7,'Out_ComplianceTracker'!$Z$8:$Z$307,0)),"")</f>
        <v/>
      </c>
      <c r="E27" s="23">
        <f>IFERROR(INDEX('Out_ComplianceTracker'!$R$8:$R$307,MATCH(7,'Out_ComplianceTracker'!$Z$8:$Z$307,0)),"")</f>
        <v/>
      </c>
    </row>
    <row r="28">
      <c r="A28" s="23">
        <f>IFERROR(INDEX('Out_ComplianceTracker'!$A$8:$A$307,MATCH(8,'Out_ComplianceTracker'!$Z$8:$Z$307,0)),"")</f>
        <v/>
      </c>
      <c r="B28" s="23">
        <f>IFERROR(INDEX('Ref_Crosswalk'!$B$2:$B$500,MATCH(INDEX('Out_ComplianceTracker'!$A$8:$A$307,MATCH(8,'Out_ComplianceTracker'!$Z$8:$Z$307,0)),'Ref_Crosswalk'!$A$2:$A$500,0)),"")</f>
        <v/>
      </c>
      <c r="C28" s="23">
        <f>IFERROR(INDEX('Out_ComplianceTracker'!$X$8:$X$307,MATCH(8,'Out_ComplianceTracker'!$Z$8:$Z$307,0)),"")</f>
        <v/>
      </c>
      <c r="D28" s="23">
        <f>IFERROR(INDEX('Out_ComplianceTracker'!$W$8:$W$307,MATCH(8,'Out_ComplianceTracker'!$Z$8:$Z$307,0)),"")</f>
        <v/>
      </c>
      <c r="E28" s="23">
        <f>IFERROR(INDEX('Out_ComplianceTracker'!$R$8:$R$307,MATCH(8,'Out_ComplianceTracker'!$Z$8:$Z$307,0)),"")</f>
        <v/>
      </c>
    </row>
    <row r="29">
      <c r="A29" s="23">
        <f>IFERROR(INDEX('Out_ComplianceTracker'!$A$8:$A$307,MATCH(9,'Out_ComplianceTracker'!$Z$8:$Z$307,0)),"")</f>
        <v/>
      </c>
      <c r="B29" s="23">
        <f>IFERROR(INDEX('Ref_Crosswalk'!$B$2:$B$500,MATCH(INDEX('Out_ComplianceTracker'!$A$8:$A$307,MATCH(9,'Out_ComplianceTracker'!$Z$8:$Z$307,0)),'Ref_Crosswalk'!$A$2:$A$500,0)),"")</f>
        <v/>
      </c>
      <c r="C29" s="23">
        <f>IFERROR(INDEX('Out_ComplianceTracker'!$X$8:$X$307,MATCH(9,'Out_ComplianceTracker'!$Z$8:$Z$307,0)),"")</f>
        <v/>
      </c>
      <c r="D29" s="23">
        <f>IFERROR(INDEX('Out_ComplianceTracker'!$W$8:$W$307,MATCH(9,'Out_ComplianceTracker'!$Z$8:$Z$307,0)),"")</f>
        <v/>
      </c>
      <c r="E29" s="23">
        <f>IFERROR(INDEX('Out_ComplianceTracker'!$R$8:$R$307,MATCH(9,'Out_ComplianceTracker'!$Z$8:$Z$307,0)),"")</f>
        <v/>
      </c>
    </row>
    <row r="30">
      <c r="A30" s="23">
        <f>IFERROR(INDEX('Out_ComplianceTracker'!$A$8:$A$307,MATCH(10,'Out_ComplianceTracker'!$Z$8:$Z$307,0)),"")</f>
        <v/>
      </c>
      <c r="B30" s="23">
        <f>IFERROR(INDEX('Ref_Crosswalk'!$B$2:$B$500,MATCH(INDEX('Out_ComplianceTracker'!$A$8:$A$307,MATCH(10,'Out_ComplianceTracker'!$Z$8:$Z$307,0)),'Ref_Crosswalk'!$A$2:$A$500,0)),"")</f>
        <v/>
      </c>
      <c r="C30" s="23">
        <f>IFERROR(INDEX('Out_ComplianceTracker'!$X$8:$X$307,MATCH(10,'Out_ComplianceTracker'!$Z$8:$Z$307,0)),"")</f>
        <v/>
      </c>
      <c r="D30" s="23">
        <f>IFERROR(INDEX('Out_ComplianceTracker'!$W$8:$W$307,MATCH(10,'Out_ComplianceTracker'!$Z$8:$Z$307,0)),"")</f>
        <v/>
      </c>
      <c r="E30" s="23">
        <f>IFERROR(INDEX('Out_ComplianceTracker'!$R$8:$R$307,MATCH(10,'Out_ComplianceTracker'!$Z$8:$Z$307,0)),"")</f>
        <v/>
      </c>
    </row>
    <row r="31">
      <c r="A31" s="23">
        <f>IFERROR(INDEX('Out_ComplianceTracker'!$A$8:$A$307,MATCH(11,'Out_ComplianceTracker'!$Z$8:$Z$307,0)),"")</f>
        <v/>
      </c>
      <c r="B31" s="23">
        <f>IFERROR(INDEX('Ref_Crosswalk'!$B$2:$B$500,MATCH(INDEX('Out_ComplianceTracker'!$A$8:$A$307,MATCH(11,'Out_ComplianceTracker'!$Z$8:$Z$307,0)),'Ref_Crosswalk'!$A$2:$A$500,0)),"")</f>
        <v/>
      </c>
      <c r="C31" s="23">
        <f>IFERROR(INDEX('Out_ComplianceTracker'!$X$8:$X$307,MATCH(11,'Out_ComplianceTracker'!$Z$8:$Z$307,0)),"")</f>
        <v/>
      </c>
      <c r="D31" s="23">
        <f>IFERROR(INDEX('Out_ComplianceTracker'!$W$8:$W$307,MATCH(11,'Out_ComplianceTracker'!$Z$8:$Z$307,0)),"")</f>
        <v/>
      </c>
      <c r="E31" s="23">
        <f>IFERROR(INDEX('Out_ComplianceTracker'!$R$8:$R$307,MATCH(11,'Out_ComplianceTracker'!$Z$8:$Z$307,0)),"")</f>
        <v/>
      </c>
    </row>
    <row r="32">
      <c r="A32" s="23">
        <f>IFERROR(INDEX('Out_ComplianceTracker'!$A$8:$A$307,MATCH(12,'Out_ComplianceTracker'!$Z$8:$Z$307,0)),"")</f>
        <v/>
      </c>
      <c r="B32" s="23">
        <f>IFERROR(INDEX('Ref_Crosswalk'!$B$2:$B$500,MATCH(INDEX('Out_ComplianceTracker'!$A$8:$A$307,MATCH(12,'Out_ComplianceTracker'!$Z$8:$Z$307,0)),'Ref_Crosswalk'!$A$2:$A$500,0)),"")</f>
        <v/>
      </c>
      <c r="C32" s="23">
        <f>IFERROR(INDEX('Out_ComplianceTracker'!$X$8:$X$307,MATCH(12,'Out_ComplianceTracker'!$Z$8:$Z$307,0)),"")</f>
        <v/>
      </c>
      <c r="D32" s="23">
        <f>IFERROR(INDEX('Out_ComplianceTracker'!$W$8:$W$307,MATCH(12,'Out_ComplianceTracker'!$Z$8:$Z$307,0)),"")</f>
        <v/>
      </c>
      <c r="E32" s="23">
        <f>IFERROR(INDEX('Out_ComplianceTracker'!$R$8:$R$307,MATCH(12,'Out_ComplianceTracker'!$Z$8:$Z$307,0)),"")</f>
        <v/>
      </c>
    </row>
    <row r="34">
      <c r="A34" s="30" t="inlineStr">
        <is>
          <t>DATA INTEGRITY</t>
        </is>
      </c>
    </row>
    <row r="35">
      <c r="A35" s="29" t="inlineStr">
        <is>
          <t>Provenance completeness:</t>
        </is>
      </c>
      <c r="D35" s="32">
        <f>"no data (Stage 2)"</f>
        <v/>
      </c>
    </row>
    <row r="36">
      <c r="A36" s="29" t="inlineStr">
        <is>
          <t>Traceability:</t>
        </is>
      </c>
      <c r="D36" s="32">
        <f>"no data (Stage 2)"</f>
        <v/>
      </c>
    </row>
    <row r="37">
      <c r="A37" s="29" t="inlineStr">
        <is>
          <t>Sources ingested:</t>
        </is>
      </c>
      <c r="D37" s="32">
        <f>"no data (Stage 2)"</f>
        <v/>
      </c>
    </row>
    <row r="39">
      <c r="A39" s="30" t="inlineStr">
        <is>
          <t>ACTIONS OVERDUE</t>
        </is>
      </c>
      <c r="G39" s="34" t="inlineStr">
        <is>
          <t>overdue count ►</t>
        </is>
      </c>
      <c r="H39" s="35">
        <f>SUMPRODUCT(('Out_ComplianceTracker'!$T$8:$T$307&lt;&gt;"")*('Out_ComplianceTracker'!$Y$8:$Y$307=1))</f>
        <v/>
      </c>
    </row>
    <row r="40">
      <c r="A40" s="36" t="inlineStr">
        <is>
          <t>DFAC_ID</t>
        </is>
      </c>
      <c r="B40" s="36" t="inlineStr">
        <is>
          <t>PERIOD_KEY</t>
        </is>
      </c>
      <c r="C40" s="36" t="inlineStr">
        <is>
          <t>WHAT'S OVERDUE</t>
        </is>
      </c>
    </row>
    <row r="41">
      <c r="A41" s="23">
        <f>IF($H$39=0,"No overdue actions.",IFERROR(INDEX('Out_ComplianceTracker'!$A$8:$A$307,MATCH(1,'Out_ComplianceTracker'!$AA$8:$AA$307,0)),""))</f>
        <v/>
      </c>
      <c r="B41" s="23">
        <f>IFERROR(INDEX('Out_ComplianceTracker'!$B$8:$B$307,MATCH(1,'Out_ComplianceTracker'!$AA$8:$AA$307,0)),"")</f>
        <v/>
      </c>
      <c r="C41" s="23">
        <f>IFERROR(INDEX('Out_ComplianceTracker'!$T$8:$T$307,MATCH(1,'Out_ComplianceTracker'!$AA$8:$AA$307,0)),"")</f>
        <v/>
      </c>
    </row>
    <row r="42">
      <c r="A42" s="23">
        <f>IFERROR(INDEX('Out_ComplianceTracker'!$A$8:$A$307,MATCH(2,'Out_ComplianceTracker'!$AA$8:$AA$307,0)),"")</f>
        <v/>
      </c>
      <c r="B42" s="23">
        <f>IFERROR(INDEX('Out_ComplianceTracker'!$B$8:$B$307,MATCH(2,'Out_ComplianceTracker'!$AA$8:$AA$307,0)),"")</f>
        <v/>
      </c>
      <c r="C42" s="23">
        <f>IFERROR(INDEX('Out_ComplianceTracker'!$T$8:$T$307,MATCH(2,'Out_ComplianceTracker'!$AA$8:$AA$307,0)),"")</f>
        <v/>
      </c>
    </row>
    <row r="43">
      <c r="A43" s="23">
        <f>IFERROR(INDEX('Out_ComplianceTracker'!$A$8:$A$307,MATCH(3,'Out_ComplianceTracker'!$AA$8:$AA$307,0)),"")</f>
        <v/>
      </c>
      <c r="B43" s="23">
        <f>IFERROR(INDEX('Out_ComplianceTracker'!$B$8:$B$307,MATCH(3,'Out_ComplianceTracker'!$AA$8:$AA$307,0)),"")</f>
        <v/>
      </c>
      <c r="C43" s="23">
        <f>IFERROR(INDEX('Out_ComplianceTracker'!$T$8:$T$307,MATCH(3,'Out_ComplianceTracker'!$AA$8:$AA$307,0)),"")</f>
        <v/>
      </c>
    </row>
    <row r="44">
      <c r="A44" s="23">
        <f>IFERROR(INDEX('Out_ComplianceTracker'!$A$8:$A$307,MATCH(4,'Out_ComplianceTracker'!$AA$8:$AA$307,0)),"")</f>
        <v/>
      </c>
      <c r="B44" s="23">
        <f>IFERROR(INDEX('Out_ComplianceTracker'!$B$8:$B$307,MATCH(4,'Out_ComplianceTracker'!$AA$8:$AA$307,0)),"")</f>
        <v/>
      </c>
      <c r="C44" s="23">
        <f>IFERROR(INDEX('Out_ComplianceTracker'!$T$8:$T$307,MATCH(4,'Out_ComplianceTracker'!$AA$8:$AA$307,0)),"")</f>
        <v/>
      </c>
    </row>
    <row r="45">
      <c r="A45" s="23">
        <f>IFERROR(INDEX('Out_ComplianceTracker'!$A$8:$A$307,MATCH(5,'Out_ComplianceTracker'!$AA$8:$AA$307,0)),"")</f>
        <v/>
      </c>
      <c r="B45" s="23">
        <f>IFERROR(INDEX('Out_ComplianceTracker'!$B$8:$B$307,MATCH(5,'Out_ComplianceTracker'!$AA$8:$AA$307,0)),"")</f>
        <v/>
      </c>
      <c r="C45" s="23">
        <f>IFERROR(INDEX('Out_ComplianceTracker'!$T$8:$T$307,MATCH(5,'Out_ComplianceTracker'!$AA$8:$AA$307,0)),"")</f>
        <v/>
      </c>
    </row>
    <row r="46">
      <c r="A46" s="23">
        <f>IFERROR(INDEX('Out_ComplianceTracker'!$A$8:$A$307,MATCH(6,'Out_ComplianceTracker'!$AA$8:$AA$307,0)),"")</f>
        <v/>
      </c>
      <c r="B46" s="23">
        <f>IFERROR(INDEX('Out_ComplianceTracker'!$B$8:$B$307,MATCH(6,'Out_ComplianceTracker'!$AA$8:$AA$307,0)),"")</f>
        <v/>
      </c>
      <c r="C46" s="23">
        <f>IFERROR(INDEX('Out_ComplianceTracker'!$T$8:$T$307,MATCH(6,'Out_ComplianceTracker'!$AA$8:$AA$307,0)),"")</f>
        <v/>
      </c>
    </row>
    <row r="47">
      <c r="A47" s="23">
        <f>IFERROR(INDEX('Out_ComplianceTracker'!$A$8:$A$307,MATCH(7,'Out_ComplianceTracker'!$AA$8:$AA$307,0)),"")</f>
        <v/>
      </c>
      <c r="B47" s="23">
        <f>IFERROR(INDEX('Out_ComplianceTracker'!$B$8:$B$307,MATCH(7,'Out_ComplianceTracker'!$AA$8:$AA$307,0)),"")</f>
        <v/>
      </c>
      <c r="C47" s="23">
        <f>IFERROR(INDEX('Out_ComplianceTracker'!$T$8:$T$307,MATCH(7,'Out_ComplianceTracker'!$AA$8:$AA$307,0)),"")</f>
        <v/>
      </c>
    </row>
    <row r="48">
      <c r="A48" s="23">
        <f>IFERROR(INDEX('Out_ComplianceTracker'!$A$8:$A$307,MATCH(8,'Out_ComplianceTracker'!$AA$8:$AA$307,0)),"")</f>
        <v/>
      </c>
      <c r="B48" s="23">
        <f>IFERROR(INDEX('Out_ComplianceTracker'!$B$8:$B$307,MATCH(8,'Out_ComplianceTracker'!$AA$8:$AA$307,0)),"")</f>
        <v/>
      </c>
      <c r="C48" s="23">
        <f>IFERROR(INDEX('Out_ComplianceTracker'!$T$8:$T$307,MATCH(8,'Out_ComplianceTracker'!$AA$8:$AA$307,0)),"")</f>
        <v/>
      </c>
    </row>
    <row r="49">
      <c r="A49" s="23">
        <f>IFERROR(INDEX('Out_ComplianceTracker'!$A$8:$A$307,MATCH(9,'Out_ComplianceTracker'!$AA$8:$AA$307,0)),"")</f>
        <v/>
      </c>
      <c r="B49" s="23">
        <f>IFERROR(INDEX('Out_ComplianceTracker'!$B$8:$B$307,MATCH(9,'Out_ComplianceTracker'!$AA$8:$AA$307,0)),"")</f>
        <v/>
      </c>
      <c r="C49" s="23">
        <f>IFERROR(INDEX('Out_ComplianceTracker'!$T$8:$T$307,MATCH(9,'Out_ComplianceTracker'!$AA$8:$AA$307,0)),"")</f>
        <v/>
      </c>
    </row>
    <row r="50">
      <c r="A50" s="23">
        <f>IFERROR(INDEX('Out_ComplianceTracker'!$A$8:$A$307,MATCH(10,'Out_ComplianceTracker'!$AA$8:$AA$307,0)),"")</f>
        <v/>
      </c>
      <c r="B50" s="23">
        <f>IFERROR(INDEX('Out_ComplianceTracker'!$B$8:$B$307,MATCH(10,'Out_ComplianceTracker'!$AA$8:$AA$307,0)),"")</f>
        <v/>
      </c>
      <c r="C50" s="23">
        <f>IFERROR(INDEX('Out_ComplianceTracker'!$T$8:$T$307,MATCH(10,'Out_ComplianceTracker'!$AA$8:$AA$307,0)),"")</f>
        <v/>
      </c>
    </row>
    <row r="51">
      <c r="A51" s="23">
        <f>IFERROR(INDEX('Out_ComplianceTracker'!$A$8:$A$307,MATCH(11,'Out_ComplianceTracker'!$AA$8:$AA$307,0)),"")</f>
        <v/>
      </c>
      <c r="B51" s="23">
        <f>IFERROR(INDEX('Out_ComplianceTracker'!$B$8:$B$307,MATCH(11,'Out_ComplianceTracker'!$AA$8:$AA$307,0)),"")</f>
        <v/>
      </c>
      <c r="C51" s="23">
        <f>IFERROR(INDEX('Out_ComplianceTracker'!$T$8:$T$307,MATCH(11,'Out_ComplianceTracker'!$AA$8:$AA$307,0)),"")</f>
        <v/>
      </c>
    </row>
    <row r="52">
      <c r="A52" s="23">
        <f>IFERROR(INDEX('Out_ComplianceTracker'!$A$8:$A$307,MATCH(12,'Out_ComplianceTracker'!$AA$8:$AA$307,0)),"")</f>
        <v/>
      </c>
      <c r="B52" s="23">
        <f>IFERROR(INDEX('Out_ComplianceTracker'!$B$8:$B$307,MATCH(12,'Out_ComplianceTracker'!$AA$8:$AA$307,0)),"")</f>
        <v/>
      </c>
      <c r="C52" s="23">
        <f>IFERROR(INDEX('Out_ComplianceTracker'!$T$8:$T$307,MATCH(12,'Out_ComplianceTracker'!$AA$8:$AA$307,0)),"")</f>
        <v/>
      </c>
    </row>
    <row r="54">
      <c r="A54" s="9" t="inlineStr">
        <is>
          <t>Color means one thing: RED = act now, AMBER = watch. One button: Data &gt; Refresh All. Filters recompute every count.</t>
        </is>
      </c>
    </row>
  </sheetData>
  <conditionalFormatting sqref="D10">
    <cfRule type="cellIs" priority="1" operator="greaterThan" dxfId="0">
      <formula>0</formula>
    </cfRule>
  </conditionalFormatting>
  <conditionalFormatting sqref="D15">
    <cfRule type="cellIs" priority="2" operator="greaterThan" dxfId="1">
      <formula>0</formula>
    </cfRule>
  </conditionalFormatting>
  <conditionalFormatting sqref="D16">
    <cfRule type="cellIs" priority="3" operator="greaterThan" dxfId="1">
      <formula>0</formula>
    </cfRule>
  </conditionalFormatting>
  <conditionalFormatting sqref="D17">
    <cfRule type="cellIs" priority="4" operator="greaterThan" dxfId="0">
      <formula>0</formula>
    </cfRule>
  </conditionalFormatting>
  <dataValidations count="2">
    <dataValidation sqref="C7" showDropDown="0" showInputMessage="0" showErrorMessage="0" allowBlank="1" type="list">
      <formula1>'Ref_Calendar'!$A$2:$A$500</formula1>
    </dataValidation>
    <dataValidation sqref="C5" showDropDown="0" showInputMessage="0" showErrorMessage="0" allowBlank="1" type="list">
      <formula1>"AETC,ACC,AMC,PACAF,USAFE,AFGSC,AFMC,AFSOC,ANG,AFRC"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6" customWidth="1" min="4" max="4"/>
    <col width="46" customWidth="1" min="5" max="5"/>
    <col width="18" customWidth="1" min="6" max="6"/>
    <col width="13" customWidth="1" min="7" max="7"/>
  </cols>
  <sheetData>
    <row r="1">
      <c r="A1" s="19" t="inlineStr">
        <is>
          <t>DATA DICTIONARY</t>
        </is>
      </c>
    </row>
    <row r="2">
      <c r="A2" s="20" t="inlineStr">
        <is>
          <t>Every column: type, source, definition, validation, owner.</t>
        </is>
      </c>
    </row>
    <row r="3">
      <c r="A3" s="1" t="inlineStr">
        <is>
          <t>TAB</t>
        </is>
      </c>
      <c r="B3" s="1" t="inlineStr">
        <is>
          <t>COLUMN</t>
        </is>
      </c>
      <c r="C3" s="1" t="inlineStr">
        <is>
          <t>TYPE</t>
        </is>
      </c>
      <c r="D3" s="1" t="inlineStr">
        <is>
          <t>SOURCE</t>
        </is>
      </c>
      <c r="E3" s="1" t="inlineStr">
        <is>
          <t>DEFINITION</t>
        </is>
      </c>
      <c r="F3" s="1" t="inlineStr">
        <is>
          <t>VALIDATION</t>
        </is>
      </c>
      <c r="G3" s="1" t="inlineStr">
        <is>
          <t>OWNER</t>
        </is>
      </c>
    </row>
    <row r="4">
      <c r="A4" s="23" t="inlineStr">
        <is>
          <t>Ref_Tolerance</t>
        </is>
      </c>
      <c r="B4" s="23" t="inlineStr">
        <is>
          <t>FACILITY_TYPE</t>
        </is>
      </c>
      <c r="C4" s="23" t="inlineStr">
        <is>
          <t>Text</t>
        </is>
      </c>
      <c r="D4" s="23" t="inlineStr">
        <is>
          <t>Seed</t>
        </is>
      </c>
      <c r="E4" s="37" t="inlineStr">
        <is>
          <t>Join key to Ref_Crosswalk</t>
        </is>
      </c>
      <c r="F4" s="23" t="inlineStr">
        <is>
          <t>Unique</t>
        </is>
      </c>
      <c r="G4" s="23" t="inlineStr">
        <is>
          <t>AFSVC/VMF</t>
        </is>
      </c>
    </row>
    <row r="5">
      <c r="A5" s="4" t="inlineStr">
        <is>
          <t>Ref_Tolerance</t>
        </is>
      </c>
      <c r="B5" s="4" t="inlineStr">
        <is>
          <t>TOLERANCE_PCT</t>
        </is>
      </c>
      <c r="C5" s="4" t="inlineStr">
        <is>
          <t>Number</t>
        </is>
      </c>
      <c r="D5" s="4" t="inlineStr">
        <is>
          <t>DAFMAN 34-131</t>
        </is>
      </c>
      <c r="E5" s="6" t="inlineStr">
        <is>
          <t>Gain/loss tolerance as a fraction (0.03 = 3%)</t>
        </is>
      </c>
      <c r="F5" s="4" t="inlineStr">
        <is>
          <t>Regulatory — do not edit</t>
        </is>
      </c>
      <c r="G5" s="4" t="inlineStr">
        <is>
          <t>AFSVC/VMF</t>
        </is>
      </c>
    </row>
    <row r="6">
      <c r="A6" s="23" t="inlineStr">
        <is>
          <t>Ref_Tolerance</t>
        </is>
      </c>
      <c r="B6" s="23" t="inlineStr">
        <is>
          <t>BASIS</t>
        </is>
      </c>
      <c r="C6" s="23" t="inlineStr">
        <is>
          <t>Text</t>
        </is>
      </c>
      <c r="D6" s="23" t="inlineStr">
        <is>
          <t>DAFMAN 34-131</t>
        </is>
      </c>
      <c r="E6" s="37" t="inlineStr">
        <is>
          <t>Income basis the tolerance applies against</t>
        </is>
      </c>
      <c r="F6" s="23" t="inlineStr">
        <is>
          <t>Enum</t>
        </is>
      </c>
      <c r="G6" s="23" t="inlineStr">
        <is>
          <t>AFSVC/VMF</t>
        </is>
      </c>
    </row>
    <row r="7">
      <c r="A7" s="4" t="inlineStr">
        <is>
          <t>Ref_Tolerance</t>
        </is>
      </c>
      <c r="B7" s="4" t="inlineStr">
        <is>
          <t>METRIC_TYPE</t>
        </is>
      </c>
      <c r="C7" s="4" t="inlineStr">
        <is>
          <t>Text</t>
        </is>
      </c>
      <c r="D7" s="4" t="inlineStr">
        <is>
          <t>DAFMAN 34-131</t>
        </is>
      </c>
      <c r="E7" s="6" t="inlineStr">
        <is>
          <t>VARIANCE or MARGIN; Food 2.0 is MARGIN</t>
        </is>
      </c>
      <c r="F7" s="4" t="inlineStr">
        <is>
          <t>VARIANCE/MARGIN</t>
        </is>
      </c>
      <c r="G7" s="4" t="inlineStr">
        <is>
          <t>AFSVC/VMF</t>
        </is>
      </c>
    </row>
    <row r="8">
      <c r="A8" s="23" t="inlineStr">
        <is>
          <t>Ref_Tolerance</t>
        </is>
      </c>
      <c r="B8" s="23" t="inlineStr">
        <is>
          <t>DAFMAN_CITE</t>
        </is>
      </c>
      <c r="C8" s="23" t="inlineStr">
        <is>
          <t>Text</t>
        </is>
      </c>
      <c r="D8" s="23" t="inlineStr">
        <is>
          <t>DAFMAN 34-131</t>
        </is>
      </c>
      <c r="E8" s="37" t="inlineStr">
        <is>
          <t>Paragraph the standard comes from</t>
        </is>
      </c>
      <c r="F8" s="23" t="inlineStr">
        <is>
          <t>-</t>
        </is>
      </c>
      <c r="G8" s="23" t="inlineStr">
        <is>
          <t>AFSVC/VMF</t>
        </is>
      </c>
    </row>
    <row r="9">
      <c r="A9" s="4" t="inlineStr">
        <is>
          <t>Ref_Tolerance</t>
        </is>
      </c>
      <c r="B9" s="4" t="inlineStr">
        <is>
          <t>TIER</t>
        </is>
      </c>
      <c r="C9" s="4" t="inlineStr">
        <is>
          <t>Text</t>
        </is>
      </c>
      <c r="D9" s="4" t="inlineStr">
        <is>
          <t>DAFMAN 34-131</t>
        </is>
      </c>
      <c r="E9" s="6" t="inlineStr">
        <is>
          <t>Waiver tier (e.g. T-2)</t>
        </is>
      </c>
      <c r="F9" s="4" t="inlineStr">
        <is>
          <t>-</t>
        </is>
      </c>
      <c r="G9" s="4" t="inlineStr">
        <is>
          <t>AFSVC/VMF</t>
        </is>
      </c>
    </row>
    <row r="10">
      <c r="A10" s="23" t="inlineStr">
        <is>
          <t>Ref_Tolerance</t>
        </is>
      </c>
      <c r="B10" s="23" t="inlineStr">
        <is>
          <t>NOTES</t>
        </is>
      </c>
      <c r="C10" s="23" t="inlineStr">
        <is>
          <t>Text</t>
        </is>
      </c>
      <c r="D10" s="23" t="inlineStr">
        <is>
          <t>Analyst</t>
        </is>
      </c>
      <c r="E10" s="37" t="inlineStr">
        <is>
          <t>Surfaces the 3% vs 5% conflict and the Food 2.0 gap</t>
        </is>
      </c>
      <c r="F10" s="23" t="inlineStr">
        <is>
          <t>-</t>
        </is>
      </c>
      <c r="G10" s="23" t="inlineStr">
        <is>
          <t>AFSVC/VMF</t>
        </is>
      </c>
    </row>
    <row r="11">
      <c r="A11" s="4" t="inlineStr">
        <is>
          <t>Ref_Calendar</t>
        </is>
      </c>
      <c r="B11" s="4" t="inlineStr">
        <is>
          <t>PERIOD_KEY</t>
        </is>
      </c>
      <c r="C11" s="4" t="inlineStr">
        <is>
          <t>Text</t>
        </is>
      </c>
      <c r="D11" s="4" t="inlineStr">
        <is>
          <t>Derived</t>
        </is>
      </c>
      <c r="E11" s="6" t="inlineStr">
        <is>
          <t>FY{n}-P{MM}{A|B}; A=1-15, B=16-EOM</t>
        </is>
      </c>
      <c r="F11" s="4" t="inlineStr">
        <is>
          <t>Unique</t>
        </is>
      </c>
      <c r="G11" s="4" t="inlineStr">
        <is>
          <t>AFSVC/VMF</t>
        </is>
      </c>
    </row>
    <row r="12">
      <c r="A12" s="23" t="inlineStr">
        <is>
          <t>Ref_Calendar</t>
        </is>
      </c>
      <c r="B12" s="23" t="inlineStr">
        <is>
          <t>FY</t>
        </is>
      </c>
      <c r="C12" s="23" t="inlineStr">
        <is>
          <t>Number</t>
        </is>
      </c>
      <c r="D12" s="23" t="inlineStr">
        <is>
          <t>Derived</t>
        </is>
      </c>
      <c r="E12" s="37" t="inlineStr">
        <is>
          <t>Federal fiscal year (Oct-Sep)</t>
        </is>
      </c>
      <c r="F12" s="23" t="inlineStr">
        <is>
          <t>-</t>
        </is>
      </c>
      <c r="G12" s="23" t="inlineStr">
        <is>
          <t>AFSVC/VMF</t>
        </is>
      </c>
    </row>
    <row r="13">
      <c r="A13" s="4" t="inlineStr">
        <is>
          <t>Ref_Calendar</t>
        </is>
      </c>
      <c r="B13" s="4" t="inlineStr">
        <is>
          <t>MONTH</t>
        </is>
      </c>
      <c r="C13" s="4" t="inlineStr">
        <is>
          <t>Number</t>
        </is>
      </c>
      <c r="D13" s="4" t="inlineStr">
        <is>
          <t>Derived</t>
        </is>
      </c>
      <c r="E13" s="6" t="inlineStr">
        <is>
          <t>Calendar month number</t>
        </is>
      </c>
      <c r="F13" s="4" t="inlineStr">
        <is>
          <t>1-12</t>
        </is>
      </c>
      <c r="G13" s="4" t="inlineStr">
        <is>
          <t>AFSVC/VMF</t>
        </is>
      </c>
    </row>
    <row r="14">
      <c r="A14" s="23" t="inlineStr">
        <is>
          <t>Ref_Calendar</t>
        </is>
      </c>
      <c r="B14" s="23" t="inlineStr">
        <is>
          <t>HALF</t>
        </is>
      </c>
      <c r="C14" s="23" t="inlineStr">
        <is>
          <t>Text</t>
        </is>
      </c>
      <c r="D14" s="23" t="inlineStr">
        <is>
          <t>Derived</t>
        </is>
      </c>
      <c r="E14" s="37" t="inlineStr">
        <is>
          <t>A (1-15) or B (16-EOM)</t>
        </is>
      </c>
      <c r="F14" s="23" t="inlineStr">
        <is>
          <t>A/B</t>
        </is>
      </c>
      <c r="G14" s="23" t="inlineStr">
        <is>
          <t>AFSVC/VMF</t>
        </is>
      </c>
    </row>
    <row r="15">
      <c r="A15" s="4" t="inlineStr">
        <is>
          <t>Ref_Calendar</t>
        </is>
      </c>
      <c r="B15" s="4" t="inlineStr">
        <is>
          <t>START_DATE/END_DATE</t>
        </is>
      </c>
      <c r="C15" s="4" t="inlineStr">
        <is>
          <t>Date</t>
        </is>
      </c>
      <c r="D15" s="4" t="inlineStr">
        <is>
          <t>Derived</t>
        </is>
      </c>
      <c r="E15" s="6" t="inlineStr">
        <is>
          <t>Period bounds</t>
        </is>
      </c>
      <c r="F15" s="4" t="inlineStr">
        <is>
          <t>-</t>
        </is>
      </c>
      <c r="G15" s="4" t="inlineStr">
        <is>
          <t>AFSVC/VMF</t>
        </is>
      </c>
    </row>
    <row r="16">
      <c r="A16" s="23" t="inlineStr">
        <is>
          <t>Ref_Calendar</t>
        </is>
      </c>
      <c r="B16" s="23" t="inlineStr">
        <is>
          <t>INVENTORY_DUE</t>
        </is>
      </c>
      <c r="C16" s="23" t="inlineStr">
        <is>
          <t>Date</t>
        </is>
      </c>
      <c r="D16" s="23" t="inlineStr">
        <is>
          <t>para 7.13</t>
        </is>
      </c>
      <c r="E16" s="37" t="inlineStr">
        <is>
          <t>15th or last day of month</t>
        </is>
      </c>
      <c r="F16" s="23" t="inlineStr">
        <is>
          <t>-</t>
        </is>
      </c>
      <c r="G16" s="23" t="inlineStr">
        <is>
          <t>AFSVC/VMF</t>
        </is>
      </c>
    </row>
    <row r="17">
      <c r="A17" s="4" t="inlineStr">
        <is>
          <t>Ref_Calendar</t>
        </is>
      </c>
      <c r="B17" s="4" t="inlineStr">
        <is>
          <t>POST_DUE</t>
        </is>
      </c>
      <c r="C17" s="4" t="inlineStr">
        <is>
          <t>Date</t>
        </is>
      </c>
      <c r="D17" s="4" t="inlineStr">
        <is>
          <t>para 7.13</t>
        </is>
      </c>
      <c r="E17" s="6" t="inlineStr">
        <is>
          <t>INVENTORY_DUE + 5 days</t>
        </is>
      </c>
      <c r="F17" s="4" t="inlineStr">
        <is>
          <t>-</t>
        </is>
      </c>
      <c r="G17" s="4" t="inlineStr">
        <is>
          <t>AFSVC/VMF</t>
        </is>
      </c>
    </row>
    <row r="18">
      <c r="A18" s="23" t="inlineStr">
        <is>
          <t>Ref_Calendar</t>
        </is>
      </c>
      <c r="B18" s="23" t="inlineStr">
        <is>
          <t>MMR_DUE</t>
        </is>
      </c>
      <c r="C18" s="23" t="inlineStr">
        <is>
          <t>Date</t>
        </is>
      </c>
      <c r="D18" s="23" t="inlineStr">
        <is>
          <t>para 5.2.5</t>
        </is>
      </c>
      <c r="E18" s="37" t="inlineStr">
        <is>
          <t>10th of following month</t>
        </is>
      </c>
      <c r="F18" s="23" t="inlineStr">
        <is>
          <t>-</t>
        </is>
      </c>
      <c r="G18" s="23" t="inlineStr">
        <is>
          <t>AFSVC/VMF</t>
        </is>
      </c>
    </row>
    <row r="19">
      <c r="A19" s="4" t="inlineStr">
        <is>
          <t>Ref_Calendar</t>
        </is>
      </c>
      <c r="B19" s="4" t="inlineStr">
        <is>
          <t>STATUS</t>
        </is>
      </c>
      <c r="C19" s="4" t="inlineStr">
        <is>
          <t>Text</t>
        </is>
      </c>
      <c r="D19" s="4" t="inlineStr">
        <is>
          <t>Maintained</t>
        </is>
      </c>
      <c r="E19" s="6" t="inlineStr">
        <is>
          <t>OPEN or CLOSED</t>
        </is>
      </c>
      <c r="F19" s="4" t="inlineStr">
        <is>
          <t>OPEN/CLOSED</t>
        </is>
      </c>
      <c r="G19" s="4" t="inlineStr">
        <is>
          <t>Build owner</t>
        </is>
      </c>
    </row>
    <row r="20">
      <c r="A20" s="23" t="inlineStr">
        <is>
          <t>Ref_Crosswalk</t>
        </is>
      </c>
      <c r="B20" s="23" t="inlineStr">
        <is>
          <t>DFAC_ID</t>
        </is>
      </c>
      <c r="C20" s="23" t="inlineStr">
        <is>
          <t>Text</t>
        </is>
      </c>
      <c r="D20" s="23" t="inlineStr">
        <is>
          <t>AFSVC/VMF</t>
        </is>
      </c>
      <c r="E20" s="37" t="inlineStr">
        <is>
          <t>Canonical primary key {BASE_ID}-{NN}</t>
        </is>
      </c>
      <c r="F20" s="23" t="inlineStr">
        <is>
          <t>Unique, immutable</t>
        </is>
      </c>
      <c r="G20" s="23" t="inlineStr">
        <is>
          <t>AFSVC/VMF</t>
        </is>
      </c>
    </row>
    <row r="21">
      <c r="A21" s="4" t="inlineStr">
        <is>
          <t>Ref_Crosswalk</t>
        </is>
      </c>
      <c r="B21" s="4" t="inlineStr">
        <is>
          <t>DFAC_NAME/BASE_*/MAJCOM</t>
        </is>
      </c>
      <c r="C21" s="4" t="inlineStr">
        <is>
          <t>Text</t>
        </is>
      </c>
      <c r="D21" s="4" t="inlineStr">
        <is>
          <t>AFSVC/VMF</t>
        </is>
      </c>
      <c r="E21" s="6" t="inlineStr">
        <is>
          <t>Facility identity fields</t>
        </is>
      </c>
      <c r="F21" s="4" t="inlineStr">
        <is>
          <t>MAJCOM from list</t>
        </is>
      </c>
      <c r="G21" s="4" t="inlineStr">
        <is>
          <t>AFSVC/VMF</t>
        </is>
      </c>
    </row>
    <row r="22">
      <c r="A22" s="23" t="inlineStr">
        <is>
          <t>Ref_Crosswalk</t>
        </is>
      </c>
      <c r="B22" s="23" t="inlineStr">
        <is>
          <t>FACILITY_TYPE</t>
        </is>
      </c>
      <c r="C22" s="23" t="inlineStr">
        <is>
          <t>Text</t>
        </is>
      </c>
      <c r="D22" s="23" t="inlineStr">
        <is>
          <t>AFSVC/VMF</t>
        </is>
      </c>
      <c r="E22" s="37" t="inlineStr">
        <is>
          <t>Drives tolerance selection</t>
        </is>
      </c>
      <c r="F22" s="23" t="inlineStr">
        <is>
          <t>In Ref_Tolerance</t>
        </is>
      </c>
      <c r="G22" s="23" t="inlineStr">
        <is>
          <t>AFSVC/VMF</t>
        </is>
      </c>
    </row>
    <row r="23">
      <c r="A23" s="4" t="inlineStr">
        <is>
          <t>Ref_Crosswalk</t>
        </is>
      </c>
      <c r="B23" s="4" t="inlineStr">
        <is>
          <t>DODAAC</t>
        </is>
      </c>
      <c r="C23" s="4" t="inlineStr">
        <is>
          <t>Text</t>
        </is>
      </c>
      <c r="D23" s="4" t="inlineStr">
        <is>
          <t>para 1.4.10</t>
        </is>
      </c>
      <c r="E23" s="6" t="inlineStr">
        <is>
          <t>DoD Activity Address Code</t>
        </is>
      </c>
      <c r="F23" s="4" t="inlineStr">
        <is>
          <t>-</t>
        </is>
      </c>
      <c r="G23" s="4" t="inlineStr">
        <is>
          <t>AFSVC/VMF</t>
        </is>
      </c>
    </row>
    <row r="24">
      <c r="A24" s="23" t="inlineStr">
        <is>
          <t>Ref_Crosswalk</t>
        </is>
      </c>
      <c r="B24" s="23" t="inlineStr">
        <is>
          <t>ALOHA_STORE/CT_SITE/CIR_MERCHANT/STORES_ACCT</t>
        </is>
      </c>
      <c r="C24" s="23" t="inlineStr">
        <is>
          <t>Text</t>
        </is>
      </c>
      <c r="D24" s="23" t="inlineStr">
        <is>
          <t>Pending</t>
        </is>
      </c>
      <c r="E24" s="37" t="inlineStr">
        <is>
          <t>Source-system identifiers (placeholders)</t>
        </is>
      </c>
      <c r="F24" s="23" t="inlineStr">
        <is>
          <t>Yellow — pending</t>
        </is>
      </c>
      <c r="G24" s="23" t="inlineStr">
        <is>
          <t>AFSVC/VMF</t>
        </is>
      </c>
    </row>
    <row r="25">
      <c r="A25" s="4" t="inlineStr">
        <is>
          <t>Ref_Crosswalk</t>
        </is>
      </c>
      <c r="B25" s="4" t="inlineStr">
        <is>
          <t>ACTIVE/EFF_START/EFF_END</t>
        </is>
      </c>
      <c r="C25" s="4" t="inlineStr">
        <is>
          <t>Y-N/Date</t>
        </is>
      </c>
      <c r="D25" s="4" t="inlineStr">
        <is>
          <t>AFSVC/VMF</t>
        </is>
      </c>
      <c r="E25" s="6" t="inlineStr">
        <is>
          <t>Effective-dating for renames/renumbering</t>
        </is>
      </c>
      <c r="F25" s="4" t="inlineStr">
        <is>
          <t>-</t>
        </is>
      </c>
      <c r="G25" s="4" t="inlineStr">
        <is>
          <t>AFSVC/VMF</t>
        </is>
      </c>
    </row>
    <row r="26">
      <c r="A26" s="23" t="inlineStr">
        <is>
          <t>Ref_ExceptionTypes</t>
        </is>
      </c>
      <c r="B26" s="23" t="inlineStr">
        <is>
          <t>EXC_CODE..REMEDIATION</t>
        </is>
      </c>
      <c r="C26" s="23" t="inlineStr">
        <is>
          <t>Text</t>
        </is>
      </c>
      <c r="D26" s="23" t="inlineStr">
        <is>
          <t>Seed §5.6</t>
        </is>
      </c>
      <c r="E26" s="37" t="inlineStr">
        <is>
          <t>Exception taxonomy and routing</t>
        </is>
      </c>
      <c r="F26" s="23" t="inlineStr">
        <is>
          <t>-</t>
        </is>
      </c>
      <c r="G26" s="23" t="inlineStr">
        <is>
          <t>AFSVC/VMF</t>
        </is>
      </c>
    </row>
    <row r="27">
      <c r="A27" s="4" t="inlineStr">
        <is>
          <t>Ref_AdapterManifest</t>
        </is>
      </c>
      <c r="B27" s="4" t="inlineStr">
        <is>
          <t>QUERY_NAME..NOTES</t>
        </is>
      </c>
      <c r="C27" s="4" t="inlineStr">
        <is>
          <t>Mixed</t>
        </is>
      </c>
      <c r="D27" s="4" t="inlineStr">
        <is>
          <t>Build owner</t>
        </is>
      </c>
      <c r="E27" s="6" t="inlineStr">
        <is>
          <t>Transformation edge list; adapters are Stage 2+</t>
        </is>
      </c>
      <c r="F27" s="4" t="inlineStr">
        <is>
          <t>STATUS enum</t>
        </is>
      </c>
      <c r="G27" s="4" t="inlineStr">
        <is>
          <t>Build owner</t>
        </is>
      </c>
    </row>
    <row r="28">
      <c r="A28" s="23" t="inlineStr">
        <is>
          <t>Ref_CrosswalkVersion</t>
        </is>
      </c>
      <c r="B28" s="23" t="inlineStr">
        <is>
          <t>CROSSWALK_VER..ROW_COUNT</t>
        </is>
      </c>
      <c r="C28" s="23" t="inlineStr">
        <is>
          <t>Mixed</t>
        </is>
      </c>
      <c r="D28" s="23" t="inlineStr">
        <is>
          <t>AFSVC/VMF</t>
        </is>
      </c>
      <c r="E28" s="37" t="inlineStr">
        <is>
          <t>Crosswalk change history for drift detection</t>
        </is>
      </c>
      <c r="F28" s="23" t="inlineStr">
        <is>
          <t>-</t>
        </is>
      </c>
      <c r="G28" s="23" t="inlineStr">
        <is>
          <t>AFSVC/VMF</t>
        </is>
      </c>
    </row>
    <row r="29">
      <c r="A29" s="4" t="inlineStr">
        <is>
          <t>Out_ComplianceTracker</t>
        </is>
      </c>
      <c r="B29" s="4" t="inlineStr">
        <is>
          <t>DFAC_ID</t>
        </is>
      </c>
      <c r="C29" s="4" t="inlineStr">
        <is>
          <t>Text</t>
        </is>
      </c>
      <c r="D29" s="4" t="inlineStr">
        <is>
          <t>Input</t>
        </is>
      </c>
      <c r="E29" s="6" t="inlineStr">
        <is>
          <t>Dropdown from Ref_Crosswalk</t>
        </is>
      </c>
      <c r="F29" s="4" t="inlineStr">
        <is>
          <t>In crosswalk</t>
        </is>
      </c>
      <c r="G29" s="4" t="inlineStr">
        <is>
          <t>Accountant</t>
        </is>
      </c>
    </row>
    <row r="30">
      <c r="A30" s="23" t="inlineStr">
        <is>
          <t>Out_ComplianceTracker</t>
        </is>
      </c>
      <c r="B30" s="23" t="inlineStr">
        <is>
          <t>PERIOD_KEY</t>
        </is>
      </c>
      <c r="C30" s="23" t="inlineStr">
        <is>
          <t>Text</t>
        </is>
      </c>
      <c r="D30" s="23" t="inlineStr">
        <is>
          <t>Input</t>
        </is>
      </c>
      <c r="E30" s="37" t="inlineStr">
        <is>
          <t>Dropdown from Ref_Calendar</t>
        </is>
      </c>
      <c r="F30" s="23" t="inlineStr">
        <is>
          <t>In calendar</t>
        </is>
      </c>
      <c r="G30" s="23" t="inlineStr">
        <is>
          <t>Accountant</t>
        </is>
      </c>
    </row>
    <row r="31">
      <c r="A31" s="4" t="inlineStr">
        <is>
          <t>Out_ComplianceTracker</t>
        </is>
      </c>
      <c r="B31" s="4" t="inlineStr">
        <is>
          <t>EARNED_INCOME</t>
        </is>
      </c>
      <c r="C31" s="4" t="inlineStr">
        <is>
          <t>Number</t>
        </is>
      </c>
      <c r="D31" s="4" t="inlineStr">
        <is>
          <t>MMR</t>
        </is>
      </c>
      <c r="E31" s="6" t="inlineStr">
        <is>
          <t>Monthly earned income</t>
        </is>
      </c>
      <c r="F31" s="4" t="inlineStr">
        <is>
          <t>&gt;=0</t>
        </is>
      </c>
      <c r="G31" s="4" t="inlineStr">
        <is>
          <t>Accountant</t>
        </is>
      </c>
    </row>
    <row r="32">
      <c r="A32" s="23" t="inlineStr">
        <is>
          <t>Out_ComplianceTracker</t>
        </is>
      </c>
      <c r="B32" s="23" t="inlineStr">
        <is>
          <t>GAIN_LOSS_AMT</t>
        </is>
      </c>
      <c r="C32" s="23" t="inlineStr">
        <is>
          <t>Number</t>
        </is>
      </c>
      <c r="D32" s="23" t="inlineStr">
        <is>
          <t>MMR</t>
        </is>
      </c>
      <c r="E32" s="37" t="inlineStr">
        <is>
          <t>Signed gain/loss amount</t>
        </is>
      </c>
      <c r="F32" s="23" t="inlineStr">
        <is>
          <t>-</t>
        </is>
      </c>
      <c r="G32" s="23" t="inlineStr">
        <is>
          <t>Accountant</t>
        </is>
      </c>
    </row>
    <row r="33">
      <c r="A33" s="4" t="inlineStr">
        <is>
          <t>Out_ComplianceTracker</t>
        </is>
      </c>
      <c r="B33" s="4" t="inlineStr">
        <is>
          <t>COST_OF_GOODS</t>
        </is>
      </c>
      <c r="C33" s="4" t="inlineStr">
        <is>
          <t>Number</t>
        </is>
      </c>
      <c r="D33" s="4" t="inlineStr">
        <is>
          <t>MMR</t>
        </is>
      </c>
      <c r="E33" s="6" t="inlineStr">
        <is>
          <t>Food 2.0 only</t>
        </is>
      </c>
      <c r="F33" s="4" t="inlineStr">
        <is>
          <t>&gt;=0</t>
        </is>
      </c>
      <c r="G33" s="4" t="inlineStr">
        <is>
          <t>Accountant</t>
        </is>
      </c>
    </row>
    <row r="34">
      <c r="A34" s="23" t="inlineStr">
        <is>
          <t>Out_ComplianceTracker</t>
        </is>
      </c>
      <c r="B34" s="23" t="inlineStr">
        <is>
          <t>MFR/FSS_CC/INVESTIGATION</t>
        </is>
      </c>
      <c r="C34" s="23" t="inlineStr">
        <is>
          <t>Y/N</t>
        </is>
      </c>
      <c r="D34" s="23" t="inlineStr">
        <is>
          <t>Input</t>
        </is>
      </c>
      <c r="E34" s="37" t="inlineStr">
        <is>
          <t>Escalation actions taken</t>
        </is>
      </c>
      <c r="F34" s="23" t="inlineStr">
        <is>
          <t>Y/N</t>
        </is>
      </c>
      <c r="G34" s="23" t="inlineStr">
        <is>
          <t>Accountant</t>
        </is>
      </c>
    </row>
    <row r="35">
      <c r="A35" s="4" t="inlineStr">
        <is>
          <t>Out_ComplianceTracker</t>
        </is>
      </c>
      <c r="B35" s="4" t="inlineStr">
        <is>
          <t>FACILITY_TYPE</t>
        </is>
      </c>
      <c r="C35" s="4" t="inlineStr">
        <is>
          <t>Formula</t>
        </is>
      </c>
      <c r="D35" s="4" t="inlineStr">
        <is>
          <t>Ref_Crosswalk</t>
        </is>
      </c>
      <c r="E35" s="6" t="inlineStr">
        <is>
          <t>Looked up from crosswalk</t>
        </is>
      </c>
      <c r="F35" s="4" t="inlineStr">
        <is>
          <t>-</t>
        </is>
      </c>
      <c r="G35" s="4" t="inlineStr">
        <is>
          <t>System</t>
        </is>
      </c>
    </row>
    <row r="36">
      <c r="A36" s="23" t="inlineStr">
        <is>
          <t>Out_ComplianceTracker</t>
        </is>
      </c>
      <c r="B36" s="23" t="inlineStr">
        <is>
          <t>TOLERANCE_PCT/METRIC_TYPE/DAFMAN_CITE</t>
        </is>
      </c>
      <c r="C36" s="23" t="inlineStr">
        <is>
          <t>Formula</t>
        </is>
      </c>
      <c r="D36" s="23" t="inlineStr">
        <is>
          <t>Ref_Tolerance</t>
        </is>
      </c>
      <c r="E36" s="37" t="inlineStr">
        <is>
          <t>Applied standard and its cite</t>
        </is>
      </c>
      <c r="F36" s="23" t="inlineStr">
        <is>
          <t>-</t>
        </is>
      </c>
      <c r="G36" s="23" t="inlineStr">
        <is>
          <t>System</t>
        </is>
      </c>
    </row>
    <row r="37">
      <c r="A37" s="4" t="inlineStr">
        <is>
          <t>Out_ComplianceTracker</t>
        </is>
      </c>
      <c r="B37" s="4" t="inlineStr">
        <is>
          <t>VAR_PCT</t>
        </is>
      </c>
      <c r="C37" s="4" t="inlineStr">
        <is>
          <t>Formula</t>
        </is>
      </c>
      <c r="D37" s="4" t="inlineStr">
        <is>
          <t>Computed</t>
        </is>
      </c>
      <c r="E37" s="6" t="inlineStr">
        <is>
          <t>ABS(gain/loss)/earned income, guarded</t>
        </is>
      </c>
      <c r="F37" s="4" t="inlineStr">
        <is>
          <t>-</t>
        </is>
      </c>
      <c r="G37" s="4" t="inlineStr">
        <is>
          <t>System</t>
        </is>
      </c>
    </row>
    <row r="38">
      <c r="A38" s="23" t="inlineStr">
        <is>
          <t>Out_ComplianceTracker</t>
        </is>
      </c>
      <c r="B38" s="23" t="inlineStr">
        <is>
          <t>COG_PCT</t>
        </is>
      </c>
      <c r="C38" s="23" t="inlineStr">
        <is>
          <t>Formula</t>
        </is>
      </c>
      <c r="D38" s="23" t="inlineStr">
        <is>
          <t>Computed</t>
        </is>
      </c>
      <c r="E38" s="37" t="inlineStr">
        <is>
          <t>Cost of goods / earned income (Food 2.0)</t>
        </is>
      </c>
      <c r="F38" s="23" t="inlineStr">
        <is>
          <t>-</t>
        </is>
      </c>
      <c r="G38" s="23" t="inlineStr">
        <is>
          <t>System</t>
        </is>
      </c>
    </row>
    <row r="39">
      <c r="A39" s="4" t="inlineStr">
        <is>
          <t>Out_ComplianceTracker</t>
        </is>
      </c>
      <c r="B39" s="4" t="inlineStr">
        <is>
          <t>STREAK</t>
        </is>
      </c>
      <c r="C39" s="4" t="inlineStr">
        <is>
          <t>Formula</t>
        </is>
      </c>
      <c r="D39" s="4" t="inlineStr">
        <is>
          <t>Computed</t>
        </is>
      </c>
      <c r="E39" s="6" t="inlineStr">
        <is>
          <t>Consecutive FAIL periods, resets on PASS</t>
        </is>
      </c>
      <c r="F39" s="4" t="inlineStr">
        <is>
          <t>-</t>
        </is>
      </c>
      <c r="G39" s="4" t="inlineStr">
        <is>
          <t>System</t>
        </is>
      </c>
    </row>
    <row r="40">
      <c r="A40" s="23" t="inlineStr">
        <is>
          <t>Out_ComplianceTracker</t>
        </is>
      </c>
      <c r="B40" s="23" t="inlineStr">
        <is>
          <t>RESULT</t>
        </is>
      </c>
      <c r="C40" s="23" t="inlineStr">
        <is>
          <t>Formula</t>
        </is>
      </c>
      <c r="D40" s="23" t="inlineStr">
        <is>
          <t>Computed</t>
        </is>
      </c>
      <c r="E40" s="37" t="inlineStr">
        <is>
          <t>PASS/FAIL/CHECK; MARGIN vs VARIANCE branch</t>
        </is>
      </c>
      <c r="F40" s="23" t="inlineStr">
        <is>
          <t>-</t>
        </is>
      </c>
      <c r="G40" s="23" t="inlineStr">
        <is>
          <t>System</t>
        </is>
      </c>
    </row>
    <row r="41">
      <c r="A41" s="4" t="inlineStr">
        <is>
          <t>Out_ComplianceTracker</t>
        </is>
      </c>
      <c r="B41" s="4" t="inlineStr">
        <is>
          <t>ESCALATION/WATCH/ACTION_OVERDUE</t>
        </is>
      </c>
      <c r="C41" s="4" t="inlineStr">
        <is>
          <t>Formula</t>
        </is>
      </c>
      <c r="D41" s="4" t="inlineStr">
        <is>
          <t>Computed</t>
        </is>
      </c>
      <c r="E41" s="6" t="inlineStr">
        <is>
          <t>Ladder state and preventive flags (para 5.13.2)</t>
        </is>
      </c>
      <c r="F41" s="4" t="inlineStr">
        <is>
          <t>-</t>
        </is>
      </c>
      <c r="G41" s="4" t="inlineStr">
        <is>
          <t>System</t>
        </is>
      </c>
    </row>
    <row r="42">
      <c r="A42" s="23" t="inlineStr">
        <is>
          <t>Out_ComplianceTracker</t>
        </is>
      </c>
      <c r="B42" s="23" t="inlineStr">
        <is>
          <t>SEQ..OVERDUE_RANK</t>
        </is>
      </c>
      <c r="C42" s="23" t="inlineStr">
        <is>
          <t>Formula</t>
        </is>
      </c>
      <c r="D42" s="23" t="inlineStr">
        <is>
          <t>Helper</t>
        </is>
      </c>
      <c r="E42" s="37" t="inlineStr">
        <is>
          <t>Internal helpers for streak and dashboard lists</t>
        </is>
      </c>
      <c r="F42" s="23" t="inlineStr">
        <is>
          <t>-</t>
        </is>
      </c>
      <c r="G42" s="23" t="inlineStr">
        <is>
          <t>System</t>
        </is>
      </c>
    </row>
    <row r="43">
      <c r="A43" s="4" t="inlineStr">
        <is>
          <t>Out_Dashboard</t>
        </is>
      </c>
      <c r="B43" s="4" t="inlineStr">
        <is>
          <t>Filters C5:C7</t>
        </is>
      </c>
      <c r="C43" s="4" t="inlineStr">
        <is>
          <t>Input</t>
        </is>
      </c>
      <c r="D43" s="4" t="inlineStr">
        <is>
          <t>User</t>
        </is>
      </c>
      <c r="E43" s="6" t="inlineStr">
        <is>
          <t>MAJCOM / BASE_ID / PERIOD_KEY filters (blank=all)</t>
        </is>
      </c>
      <c r="F43" s="4" t="inlineStr">
        <is>
          <t>-</t>
        </is>
      </c>
      <c r="G43" s="4" t="inlineStr">
        <is>
          <t>Any</t>
        </is>
      </c>
    </row>
    <row r="44">
      <c r="A44" s="23" t="inlineStr">
        <is>
          <t>Out_Dashboard</t>
        </is>
      </c>
      <c r="B44" s="23" t="inlineStr">
        <is>
          <t>Counts &amp; lists</t>
        </is>
      </c>
      <c r="C44" s="23" t="inlineStr">
        <is>
          <t>Formula</t>
        </is>
      </c>
      <c r="D44" s="23" t="inlineStr">
        <is>
          <t>Out_ComplianceTracker</t>
        </is>
      </c>
      <c r="E44" s="37" t="inlineStr">
        <is>
          <t>Escalation counts, watch list, overdue list</t>
        </is>
      </c>
      <c r="F44" s="23" t="inlineStr">
        <is>
          <t>-</t>
        </is>
      </c>
      <c r="G44" s="23" t="inlineStr">
        <is>
          <t>System</t>
        </is>
      </c>
    </row>
    <row r="45">
      <c r="A45" s="4" t="inlineStr">
        <is>
          <t>Out_ValidationRegister</t>
        </is>
      </c>
      <c r="B45" s="4" t="inlineStr">
        <is>
          <t>Rule results</t>
        </is>
      </c>
      <c r="C45" s="4" t="inlineStr">
        <is>
          <t>Formula</t>
        </is>
      </c>
      <c r="D45" s="4" t="inlineStr">
        <is>
          <t>Workbook</t>
        </is>
      </c>
      <c r="E45" s="6" t="inlineStr">
        <is>
          <t>PASS/FAIL/N-A per validation rule</t>
        </is>
      </c>
      <c r="F45" s="4" t="inlineStr">
        <is>
          <t>-</t>
        </is>
      </c>
      <c r="G45" s="4" t="inlineStr">
        <is>
          <t>System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1" customWidth="1" min="3" max="3"/>
    <col width="16" customWidth="1" min="4" max="4"/>
    <col width="44" customWidth="1" min="5" max="5"/>
  </cols>
  <sheetData>
    <row r="1">
      <c r="A1" s="19" t="inlineStr">
        <is>
          <t>VALIDATION REGISTER</t>
        </is>
      </c>
    </row>
    <row r="2">
      <c r="A2" s="20" t="inlineStr">
        <is>
          <t>Numbered rules with live PASS/FAIL. Ledger/provenance rules activate in Stage 2+.</t>
        </is>
      </c>
    </row>
    <row r="3">
      <c r="A3" s="1" t="inlineStr">
        <is>
          <t>#</t>
        </is>
      </c>
      <c r="B3" s="1" t="inlineStr">
        <is>
          <t>RULE</t>
        </is>
      </c>
      <c r="C3" s="1" t="inlineStr">
        <is>
          <t>SCOPE</t>
        </is>
      </c>
      <c r="D3" s="1" t="inlineStr">
        <is>
          <t>RESULT</t>
        </is>
      </c>
      <c r="E3" s="1" t="inlineStr">
        <is>
          <t>DETAIL</t>
        </is>
      </c>
    </row>
    <row r="4">
      <c r="A4" s="38" t="n">
        <v>1</v>
      </c>
      <c r="B4" s="37" t="inlineStr">
        <is>
          <t>All DFAC_ID in the tracker resolve in Ref_Crosswalk</t>
        </is>
      </c>
      <c r="C4" s="38" t="inlineStr">
        <is>
          <t>LIVE</t>
        </is>
      </c>
      <c r="D4" s="39">
        <f>IF(SUMPRODUCT(('Out_ComplianceTracker'!$A$8:$A$307&lt;&gt;"")*('Out_ComplianceTracker'!$J$8:$J$307="UNKNOWN"))=0,"PASS","FAIL")</f>
        <v/>
      </c>
      <c r="E4" s="40" t="inlineStr">
        <is>
          <t>No FACILITY_TYPE lookups return UNKNOWN.</t>
        </is>
      </c>
    </row>
    <row r="5">
      <c r="A5" s="38" t="n">
        <v>2</v>
      </c>
      <c r="B5" s="37" t="inlineStr">
        <is>
          <t>Provenance completeness = 100%</t>
        </is>
      </c>
      <c r="C5" s="41" t="inlineStr">
        <is>
          <t>STAGE 2+</t>
        </is>
      </c>
      <c r="D5" s="42" t="inlineStr">
        <is>
          <t>N/A — Stage 2+</t>
        </is>
      </c>
      <c r="E5" s="40" t="inlineStr">
        <is>
          <t>Activates with Ledger_ProvenanceCheck.</t>
        </is>
      </c>
    </row>
    <row r="6">
      <c r="A6" s="38" t="n">
        <v>3</v>
      </c>
      <c r="B6" s="37" t="inlineStr">
        <is>
          <t>All ADAPTER_VER present in Ref_AdapterManifest as ACTIVE</t>
        </is>
      </c>
      <c r="C6" s="41" t="inlineStr">
        <is>
          <t>STAGE 2+</t>
        </is>
      </c>
      <c r="D6" s="42" t="inlineStr">
        <is>
          <t>N/A — Stage 2+</t>
        </is>
      </c>
      <c r="E6" s="40" t="inlineStr">
        <is>
          <t>Activates with adapters.</t>
        </is>
      </c>
    </row>
    <row r="7">
      <c r="A7" s="38" t="n">
        <v>4</v>
      </c>
      <c r="B7" s="37" t="inlineStr">
        <is>
          <t>No PERIOD_KEY outside Ref_Calendar</t>
        </is>
      </c>
      <c r="C7" s="38" t="inlineStr">
        <is>
          <t>LIVE</t>
        </is>
      </c>
      <c r="D7" s="39">
        <f>IF(SUMPRODUCT(('Out_ComplianceTracker'!$B$8:$B$307&lt;&gt;"")*(COUNTIF('Ref_Calendar'!$A$2:$A$500,'Out_ComplianceTracker'!$B$8:$B$307)=0))=0,"PASS","FAIL")</f>
        <v/>
      </c>
      <c r="E7" s="40" t="inlineStr">
        <is>
          <t>Every tracker PERIOD_KEY exists in the calendar.</t>
        </is>
      </c>
    </row>
    <row r="8">
      <c r="A8" s="38" t="n">
        <v>5</v>
      </c>
      <c r="B8" s="37" t="inlineStr">
        <is>
          <t>Sum of adapter row counts = ledger row count</t>
        </is>
      </c>
      <c r="C8" s="41" t="inlineStr">
        <is>
          <t>STAGE 2+</t>
        </is>
      </c>
      <c r="D8" s="42" t="inlineStr">
        <is>
          <t>N/A — Stage 2+</t>
        </is>
      </c>
      <c r="E8" s="40" t="inlineStr">
        <is>
          <t>Activates with the ledger.</t>
        </is>
      </c>
    </row>
    <row r="9">
      <c r="A9" s="38" t="n">
        <v>6</v>
      </c>
      <c r="B9" s="37" t="inlineStr">
        <is>
          <t>Every FACILITY_TYPE resolves in Ref_Tolerance</t>
        </is>
      </c>
      <c r="C9" s="38" t="inlineStr">
        <is>
          <t>LIVE</t>
        </is>
      </c>
      <c r="D9" s="39">
        <f>IF(SUMPRODUCT(('Ref_Crosswalk'!$F$2:$F$500&lt;&gt;"")*(COUNTIF('Ref_Tolerance'!$A$2:$A$9,'Ref_Crosswalk'!$F$2:$F$500)=0))=0,"PASS","FAIL")</f>
        <v/>
      </c>
      <c r="E9" s="40" t="inlineStr">
        <is>
          <t>Catches misclassified/unknown facility types (TC-09).</t>
        </is>
      </c>
    </row>
    <row r="10">
      <c r="A10" s="38" t="n">
        <v>7</v>
      </c>
      <c r="B10" s="37" t="inlineStr">
        <is>
          <t>No TOLERANCE_PCT blank where METRIC_TYPE = VARIANCE</t>
        </is>
      </c>
      <c r="C10" s="38" t="inlineStr">
        <is>
          <t>LIVE</t>
        </is>
      </c>
      <c r="D10" s="39">
        <f>IF(SUMPRODUCT(('Ref_Tolerance'!$D$2:$D$9="VARIANCE")*(ISNUMBER('Ref_Tolerance'!$B$2:$B$9)=FALSE))=0,"PASS","FAIL")</f>
        <v/>
      </c>
      <c r="E10" s="40" t="inlineStr">
        <is>
          <t>Every variance rule carries a numeric tolerance.</t>
        </is>
      </c>
    </row>
    <row r="11">
      <c r="A11" s="38" t="n">
        <v>8</v>
      </c>
      <c r="B11" s="37" t="inlineStr">
        <is>
          <t>Streak counter resets on PASS</t>
        </is>
      </c>
      <c r="C11" s="38" t="inlineStr">
        <is>
          <t>LIVE</t>
        </is>
      </c>
      <c r="D11" s="39">
        <f>IF(SUMPRODUCT(('Out_ComplianceTracker'!$P$8:$P$307="PASS")*('Out_ComplianceTracker'!$O$8:$O$307&lt;&gt;0))=0,"PASS","FAIL")</f>
        <v/>
      </c>
      <c r="E11" s="40" t="inlineStr">
        <is>
          <t>STREAK = 0 on every PASS row (TC-06).</t>
        </is>
      </c>
    </row>
    <row r="12">
      <c r="A12" s="38" t="n">
        <v>9</v>
      </c>
      <c r="B12" s="37" t="inlineStr">
        <is>
          <t>Escalation state consistent with streak value</t>
        </is>
      </c>
      <c r="C12" s="38" t="inlineStr">
        <is>
          <t>LIVE</t>
        </is>
      </c>
      <c r="D12" s="39">
        <f>IF(SUMPRODUCT(('Out_ComplianceTracker'!$A$8:$A$307&lt;&gt;"")*((('Out_ComplianceTracker'!$O$8:$O$307=0)*('Out_ComplianceTracker'!$R$8:$R$307&lt;&gt;"CLEAR"))+(('Out_ComplianceTracker'!$O$8:$O$307=1)*('Out_ComplianceTracker'!$R$8:$R$307&lt;&gt;"MFR DUE - MANAGER"))+(('Out_ComplianceTracker'!$O$8:$O$307=2)*('Out_ComplianceTracker'!$R$8:$R$307&lt;&gt;"MFR DUE - FSS/CC SIGNATURE REQUIRED"))+(('Out_ComplianceTracker'!$O$8:$O$307&gt;=3)*('Out_ComplianceTracker'!$R$8:$R$307&lt;&gt;"INVESTIGATION + REPORT OF SURVEY; MSG/CC NOTIFIED"))))=0,"PASS","FAIL")</f>
        <v/>
      </c>
      <c r="E12" s="40" t="inlineStr">
        <is>
          <t>Recomputed ladder text matches ESCALATION.</t>
        </is>
      </c>
    </row>
    <row r="13">
      <c r="A13" s="38" t="n">
        <v>10</v>
      </c>
      <c r="B13" s="37" t="inlineStr">
        <is>
          <t>No naked formula errors anywhere</t>
        </is>
      </c>
      <c r="C13" s="38" t="inlineStr">
        <is>
          <t>LIVE</t>
        </is>
      </c>
      <c r="D13" s="39">
        <f>IF(SUMPRODUCT(--ISERROR('Out_ComplianceTracker'!$J$8:$AA$307))+SUMPRODUCT(--ISERROR('Out_Dashboard'!$A$10:$E$52))=0,"PASS","FAIL")</f>
        <v/>
      </c>
      <c r="E13" s="40" t="inlineStr">
        <is>
          <t>No error cells in tracker calc range or dashboard (TC-22).</t>
        </is>
      </c>
    </row>
    <row r="14">
      <c r="A14" s="38" t="n">
        <v>11</v>
      </c>
      <c r="B14" s="37" t="inlineStr">
        <is>
          <t>Inventory count dates align to 15th / EOM</t>
        </is>
      </c>
      <c r="C14" s="38" t="inlineStr">
        <is>
          <t>LIVE</t>
        </is>
      </c>
      <c r="D14" s="39">
        <f>IF(SUMPRODUCT(('Ref_Calendar'!$A$2:$A$500&lt;&gt;"")*((('Ref_Calendar'!$D$2:$D$500="A")*(DAY('Ref_Calendar'!$G$2:$G$500)&lt;&gt;15))+(('Ref_Calendar'!$D$2:$D$500="B")*('Ref_Calendar'!$G$2:$G$500&lt;&gt;'Ref_Calendar'!$F$2:$F$500))))=0,"PASS","FAIL")</f>
        <v/>
      </c>
      <c r="E14" s="40" t="inlineStr">
        <is>
          <t>Calendar INVENTORY_DUE matches para 7.13.</t>
        </is>
      </c>
    </row>
    <row r="15">
      <c r="A15" s="38" t="n">
        <v>12</v>
      </c>
      <c r="B15" s="37" t="inlineStr">
        <is>
          <t>AMOUNT = QTY x UNIT_COST within tolerance</t>
        </is>
      </c>
      <c r="C15" s="41" t="inlineStr">
        <is>
          <t>STAGE 2+</t>
        </is>
      </c>
      <c r="D15" s="42" t="inlineStr">
        <is>
          <t>N/A — Stage 2+</t>
        </is>
      </c>
      <c r="E15" s="40" t="inlineStr">
        <is>
          <t>Activates with the ledger.</t>
        </is>
      </c>
    </row>
    <row r="16">
      <c r="A16" s="38" t="n">
        <v>13</v>
      </c>
      <c r="B16" s="37" t="inlineStr">
        <is>
          <t>No duplicate TXN_ID</t>
        </is>
      </c>
      <c r="C16" s="41" t="inlineStr">
        <is>
          <t>STAGE 2+</t>
        </is>
      </c>
      <c r="D16" s="42" t="inlineStr">
        <is>
          <t>N/A — Stage 2+</t>
        </is>
      </c>
      <c r="E16" s="40" t="inlineStr">
        <is>
          <t>Activates with the ledger.</t>
        </is>
      </c>
    </row>
    <row r="17">
      <c r="A17" s="38" t="n">
        <v>14</v>
      </c>
      <c r="B17" s="37" t="inlineStr">
        <is>
          <t>All EXC_CODE resolve in Ref_ExceptionTypes</t>
        </is>
      </c>
      <c r="C17" s="41" t="inlineStr">
        <is>
          <t>STAGE 2+</t>
        </is>
      </c>
      <c r="D17" s="42" t="inlineStr">
        <is>
          <t>N/A — Stage 2+</t>
        </is>
      </c>
      <c r="E17" s="40" t="inlineStr">
        <is>
          <t>Activates with the reconciliation layer.</t>
        </is>
      </c>
    </row>
    <row r="19">
      <c r="B19" s="17" t="inlineStr">
        <is>
          <t>Live rules passing:</t>
        </is>
      </c>
      <c r="D19" s="17">
        <f>"  "&amp;SUMPRODUCT(--($D$4:$D$17="PASS"))&amp;" of "&amp;SUMPRODUCT(--($C$4:$C$17="LIVE"))</f>
        <v/>
      </c>
    </row>
  </sheetData>
  <conditionalFormatting sqref="D4:D17">
    <cfRule type="cellIs" priority="1" operator="equal" dxfId="0">
      <formula>"FAIL"</formula>
    </cfRule>
    <cfRule type="cellIs" priority="2" operator="equal" dxfId="2">
      <formula>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2026-07-24T03:40:57Z</dcterms:created>
  <dcterms:modified xsi:type="dcterms:W3CDTF">2026-07-24T03:40:59Z</dcterms:modified>
</cp:coreProperties>
</file>